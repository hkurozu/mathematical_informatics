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用量" sheetId="1" r:id="rId4"/>
    <sheet state="visible" name="排出量" sheetId="2" r:id="rId5"/>
    <sheet state="visible" name="再エネ比較" sheetId="3" r:id="rId6"/>
    <sheet state="visible" name="東京都気温" sheetId="4" r:id="rId7"/>
    <sheet state="visible" name="Sheet2" sheetId="5" r:id="rId8"/>
  </sheets>
  <definedNames>
    <definedName name="_xlchart.v1.9">'排出量'!$P$64:$P$135</definedName>
    <definedName name="_xlchart.v1.23">#REF!</definedName>
    <definedName name="_xlchart.v1.17">#REF!</definedName>
    <definedName name="_xlchart.v1.21">#REF!</definedName>
    <definedName name="_xlchart.v1.15">#REF!</definedName>
    <definedName name="_xlchart.v1.8">'排出量'!$P$63</definedName>
    <definedName name="_xlchart.v1.16">#REF!</definedName>
    <definedName name="_xlchart.v1.1">'排出量'!$E$130:$E$155</definedName>
    <definedName name="_xlchart.v1.0">'排出量'!$E$129</definedName>
    <definedName name="_xlchart.v1.6">'排出量'!$O$63</definedName>
    <definedName name="_xlchart.v1.22">#REF!</definedName>
    <definedName name="_xlchart.v1.18">#REF!</definedName>
    <definedName name="_xlchart.v1.12">#REF!</definedName>
    <definedName name="_xlchart.v1.10">'排出量'!$Q$63</definedName>
    <definedName name="_xlchart.v1.4">'排出量'!$G$129</definedName>
    <definedName name="_xlchart.v1.14">#REF!</definedName>
    <definedName name="_xlchart.v1.11">'排出量'!$Q$64:$Q$135</definedName>
    <definedName name="_xlchart.v1.5">'排出量'!$G$130:$G$155</definedName>
    <definedName name="_xlchart.v1.7">'排出量'!$O$64:$O$135</definedName>
    <definedName name="_xlchart.v1.19">#REF!</definedName>
    <definedName name="_xlchart.v1.3">'排出量'!$F$130:$F$155</definedName>
    <definedName name="_xlchart.v1.20">#REF!</definedName>
    <definedName name="_xlchart.v1.2">'排出量'!$F$129</definedName>
    <definedName name="_xlchart.v1.13">#REF!</definedName>
  </definedNames>
  <calcPr/>
  <extLst>
    <ext uri="GoogleSheetsCustomDataVersion2">
      <go:sheetsCustomData xmlns:go="http://customooxmlschemas.google.com/" r:id="rId9" roundtripDataChecksum="P7YiqX0UJoHKtGwP6+4aUshlKUoCaiUDRF0XT+PHAuQ="/>
    </ext>
  </extLst>
</workbook>
</file>

<file path=xl/sharedStrings.xml><?xml version="1.0" encoding="utf-8"?>
<sst xmlns="http://schemas.openxmlformats.org/spreadsheetml/2006/main" count="588" uniqueCount="166">
  <si>
    <t>■電気・ガス・水道使用量</t>
  </si>
  <si>
    <t>No</t>
  </si>
  <si>
    <t>月</t>
  </si>
  <si>
    <t>電気[kWh]</t>
  </si>
  <si>
    <t>電気代</t>
  </si>
  <si>
    <t>ガス[㎥]</t>
  </si>
  <si>
    <t>ガス代</t>
  </si>
  <si>
    <t>水道[㎥]</t>
  </si>
  <si>
    <t>水道代</t>
  </si>
  <si>
    <t>2017年5月</t>
  </si>
  <si>
    <t>2017年6月</t>
  </si>
  <si>
    <t>2017年7月</t>
  </si>
  <si>
    <t>2017年8月</t>
  </si>
  <si>
    <t>2017年9月</t>
  </si>
  <si>
    <t>2017年10月</t>
  </si>
  <si>
    <t>2017年11月</t>
  </si>
  <si>
    <t>2017年12月</t>
  </si>
  <si>
    <t>電気代[円]</t>
  </si>
  <si>
    <t>2018/1</t>
  </si>
  <si>
    <t>2018/2</t>
  </si>
  <si>
    <t>2018/3</t>
  </si>
  <si>
    <t>2018/4</t>
  </si>
  <si>
    <t>2018/5</t>
  </si>
  <si>
    <t>2018/6</t>
  </si>
  <si>
    <t>2018/7</t>
  </si>
  <si>
    <t>2018/8</t>
  </si>
  <si>
    <t>2018/9</t>
  </si>
  <si>
    <t>2018/10</t>
  </si>
  <si>
    <t>2018/11</t>
  </si>
  <si>
    <t>2018/12</t>
  </si>
  <si>
    <t>2019/1</t>
  </si>
  <si>
    <t>2019/2</t>
  </si>
  <si>
    <t>2019/3</t>
  </si>
  <si>
    <t>2019/4</t>
  </si>
  <si>
    <t>2019/5</t>
  </si>
  <si>
    <t>2019/6</t>
  </si>
  <si>
    <t>2019/7</t>
  </si>
  <si>
    <t>2019/8</t>
  </si>
  <si>
    <t>2019/9</t>
  </si>
  <si>
    <t>2019/10</t>
  </si>
  <si>
    <t>2019/11</t>
  </si>
  <si>
    <t>2019/12</t>
  </si>
  <si>
    <t>2020/1</t>
  </si>
  <si>
    <t>2020/2</t>
  </si>
  <si>
    <t>2020/3</t>
  </si>
  <si>
    <t>2020/4</t>
  </si>
  <si>
    <t>2020/5</t>
  </si>
  <si>
    <t>2020/6</t>
  </si>
  <si>
    <t>2020/7</t>
  </si>
  <si>
    <t>2020/8</t>
  </si>
  <si>
    <t>2020/9</t>
  </si>
  <si>
    <t>2020/10</t>
  </si>
  <si>
    <t>Oh</t>
  </si>
  <si>
    <t>2020/11</t>
  </si>
  <si>
    <t>2020/12</t>
  </si>
  <si>
    <t>2021</t>
  </si>
  <si>
    <t>1</t>
  </si>
  <si>
    <t>2021/1</t>
  </si>
  <si>
    <t>2</t>
  </si>
  <si>
    <t>2021/2</t>
  </si>
  <si>
    <t>3</t>
  </si>
  <si>
    <t>2021/3</t>
  </si>
  <si>
    <t>4</t>
  </si>
  <si>
    <t>2021/4</t>
  </si>
  <si>
    <t>5</t>
  </si>
  <si>
    <t>2021/5</t>
  </si>
  <si>
    <t>6</t>
  </si>
  <si>
    <t>2021/6</t>
  </si>
  <si>
    <t>7</t>
  </si>
  <si>
    <t>2021/7</t>
  </si>
  <si>
    <t>8</t>
  </si>
  <si>
    <t>2021/8</t>
  </si>
  <si>
    <t>9</t>
  </si>
  <si>
    <t>2021/9</t>
  </si>
  <si>
    <t>10</t>
  </si>
  <si>
    <t>2021/10</t>
  </si>
  <si>
    <t>11</t>
  </si>
  <si>
    <t>2021/11</t>
  </si>
  <si>
    <t>12</t>
  </si>
  <si>
    <t>2021/12</t>
  </si>
  <si>
    <t>2022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</si>
  <si>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</si>
  <si>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</si>
  <si>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</si>
  <si>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</si>
  <si>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</si>
  <si>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</si>
  <si>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</si>
  <si>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</si>
  <si>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</si>
  <si>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</si>
  <si>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</si>
  <si>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</si>
  <si>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</si>
  <si>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</si>
  <si>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</si>
  <si>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</si>
  <si>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</si>
  <si>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</si>
  <si>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</si>
  <si>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</si>
  <si>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</si>
  <si>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</si>
  <si>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</si>
  <si>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</si>
  <si>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</si>
  <si>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</si>
  <si>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</si>
  <si>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</si>
  <si>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</si>
  <si>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</si>
  <si>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</si>
  <si>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</si>
  <si>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</si>
  <si>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</si>
  <si>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</si>
  <si>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</si>
  <si>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</si>
  <si>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</si>
  <si>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</si>
  <si>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</si>
  <si>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</si>
  <si>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</si>
  <si>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</si>
  <si>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</si>
  <si>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</si>
  <si>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</si>
  <si>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</si>
  <si>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</si>
  <si>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</si>
  <si>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2026/1</t>
  </si>
  <si>
    <t>2026/2</t>
  </si>
  <si>
    <t>2026/3</t>
  </si>
  <si>
    <t>2026/4</t>
  </si>
  <si>
    <t>2026/5</t>
  </si>
  <si>
    <t>■二酸化炭素排出量[単位:kg]</t>
  </si>
  <si>
    <t>CO2排出量計[kg]</t>
  </si>
  <si>
    <t>光熱費(円)</t>
  </si>
  <si>
    <t>2017/5</t>
  </si>
  <si>
    <t>2017/6</t>
  </si>
  <si>
    <t>2017/7</t>
  </si>
  <si>
    <t>2017/8</t>
  </si>
  <si>
    <t>2017/9</t>
  </si>
  <si>
    <t>2017/10</t>
  </si>
  <si>
    <t>2017/11</t>
  </si>
  <si>
    <t>2017/12</t>
  </si>
  <si>
    <t>2019年</t>
  </si>
  <si>
    <t>2020年</t>
  </si>
  <si>
    <t>2024</t>
  </si>
  <si>
    <t>改善前</t>
  </si>
  <si>
    <t>家電買替え</t>
  </si>
  <si>
    <t>電気再エネ100%</t>
  </si>
  <si>
    <t>■光熱費[\]</t>
  </si>
  <si>
    <t>年</t>
  </si>
  <si>
    <t>非再エネ
コスト</t>
  </si>
  <si>
    <t>再エネ
コスト</t>
  </si>
  <si>
    <t>ガス</t>
  </si>
  <si>
    <t>水道</t>
  </si>
  <si>
    <t>非再エネ
CO2:コスト</t>
  </si>
  <si>
    <t>再エネ
CO2:コスト</t>
  </si>
  <si>
    <t>増加率</t>
  </si>
  <si>
    <t>東京都　温室効果ガス排出量と年間気温</t>
  </si>
  <si>
    <t>降水量[mm]</t>
  </si>
  <si>
    <t>温室効果ガス[万t-COeq]</t>
  </si>
  <si>
    <t>気温[℃]</t>
  </si>
  <si>
    <t>■二酸化炭素排出量算出のための係数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</si>
</sst>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;(#,##0)"/>
    <numFmt numFmtId="165" formatCode="#,##0.0;(#,##0.0)"/>
    <numFmt numFmtId="166" formatCode="#,##0_ "/>
    <numFmt numFmtId="167" formatCode="0.00&quot; &quot;"/>
    <numFmt numFmtId="168" formatCode="#,##0_);[Red]\(#,##0\)"/>
  </numFmts>
  <fonts count="10">
    <font>
      <sz val="11.0"/>
      <color rgb="FF000000"/>
      <name val="ヒラギノ角ゴ pron w3"/>
      <scheme val="minor"/>
    </font>
    <font>
      <sz val="11.0"/>
      <color rgb="FF000000"/>
      <name val="游ゴシック"/>
    </font>
    <font>
      <sz val="11.0"/>
      <color rgb="FF000000"/>
      <name val="HiraMaruPro-W4"/>
    </font>
    <font>
      <color theme="1"/>
      <name val="ヒラギノ角ゴ pron w3"/>
      <scheme val="minor"/>
    </font>
    <font>
      <sz val="9.0"/>
      <color rgb="FF000000"/>
      <name val="游ゴシック"/>
    </font>
    <font>
      <sz val="10.0"/>
      <color rgb="FF000000"/>
      <name val="游ゴシック"/>
    </font>
    <font>
      <sz val="11.0"/>
      <color rgb="FF303030"/>
      <name val="游ゴシック"/>
    </font>
    <font>
      <sz val="11.0"/>
      <color theme="1"/>
      <name val="HiraMaruPro-W4"/>
    </font>
    <font>
      <sz val="11.0"/>
      <color theme="1"/>
      <name val="游ゴシック"/>
    </font>
    <font>
      <color theme="1"/>
      <name val="ヒラギノ角ゴ pron w3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vertical="center"/>
    </xf>
    <xf borderId="1" fillId="2" fontId="1" numFmtId="0" xfId="0" applyAlignment="1" applyBorder="1" applyFont="1">
      <alignment vertical="center"/>
    </xf>
    <xf borderId="1" fillId="2" fontId="1" numFmtId="164" xfId="0" applyAlignment="1" applyBorder="1" applyFont="1" applyNumberFormat="1">
      <alignment vertical="center"/>
    </xf>
    <xf borderId="1" fillId="2" fontId="1" numFmtId="165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3" fontId="1" numFmtId="49" xfId="0" applyAlignment="1" applyBorder="1" applyFont="1" applyNumberFormat="1">
      <alignment vertical="center"/>
    </xf>
    <xf borderId="1" fillId="3" fontId="1" numFmtId="164" xfId="0" applyAlignment="1" applyBorder="1" applyFont="1" applyNumberFormat="1">
      <alignment vertical="center"/>
    </xf>
    <xf borderId="1" fillId="3" fontId="1" numFmtId="165" xfId="0" applyAlignment="1" applyBorder="1" applyFont="1" applyNumberFormat="1">
      <alignment vertical="center"/>
    </xf>
    <xf borderId="1" fillId="4" fontId="1" numFmtId="0" xfId="0" applyAlignment="1" applyBorder="1" applyFill="1" applyFont="1">
      <alignment vertical="center"/>
    </xf>
    <xf borderId="1" fillId="4" fontId="1" numFmtId="49" xfId="0" applyAlignment="1" applyBorder="1" applyFont="1" applyNumberFormat="1">
      <alignment vertical="center"/>
    </xf>
    <xf borderId="1" fillId="4" fontId="1" numFmtId="164" xfId="0" applyAlignment="1" applyBorder="1" applyFont="1" applyNumberFormat="1">
      <alignment vertical="center"/>
    </xf>
    <xf borderId="1" fillId="4" fontId="1" numFmtId="165" xfId="0" applyAlignment="1" applyBorder="1" applyFont="1" applyNumberFormat="1">
      <alignment vertical="center"/>
    </xf>
    <xf borderId="1" fillId="4" fontId="1" numFmtId="49" xfId="0" applyAlignment="1" applyBorder="1" applyFont="1" applyNumberFormat="1">
      <alignment horizontal="right" vertical="center"/>
    </xf>
    <xf borderId="1" fillId="5" fontId="1" numFmtId="0" xfId="0" applyAlignment="1" applyBorder="1" applyFill="1" applyFont="1">
      <alignment vertical="center"/>
    </xf>
    <xf borderId="1" fillId="5" fontId="1" numFmtId="49" xfId="0" applyAlignment="1" applyBorder="1" applyFont="1" applyNumberFormat="1">
      <alignment horizontal="right" vertical="center"/>
    </xf>
    <xf borderId="1" fillId="5" fontId="1" numFmtId="49" xfId="0" applyAlignment="1" applyBorder="1" applyFont="1" applyNumberFormat="1">
      <alignment vertical="center"/>
    </xf>
    <xf borderId="1" fillId="5" fontId="1" numFmtId="164" xfId="0" applyAlignment="1" applyBorder="1" applyFont="1" applyNumberFormat="1">
      <alignment vertical="center"/>
    </xf>
    <xf borderId="1" fillId="5" fontId="1" numFmtId="165" xfId="0" applyAlignment="1" applyBorder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1" fillId="5" fontId="1" numFmtId="165" xfId="0" applyAlignment="1" applyBorder="1" applyFont="1" applyNumberFormat="1">
      <alignment readingOrder="0" vertical="center"/>
    </xf>
    <xf borderId="1" fillId="5" fontId="1" numFmtId="164" xfId="0" applyAlignment="1" applyBorder="1" applyFont="1" applyNumberFormat="1">
      <alignment readingOrder="0" vertical="center"/>
    </xf>
    <xf borderId="1" fillId="5" fontId="1" numFmtId="49" xfId="0" applyAlignment="1" applyBorder="1" applyFont="1" applyNumberFormat="1">
      <alignment readingOrder="0" vertical="center"/>
    </xf>
    <xf borderId="2" fillId="5" fontId="1" numFmtId="164" xfId="0" applyAlignment="1" applyBorder="1" applyFont="1" applyNumberFormat="1">
      <alignment readingOrder="0" vertical="center"/>
    </xf>
    <xf borderId="1" fillId="5" fontId="1" numFmtId="0" xfId="0" applyAlignment="1" applyBorder="1" applyFont="1">
      <alignment readingOrder="0" vertical="center"/>
    </xf>
    <xf borderId="3" fillId="5" fontId="1" numFmtId="165" xfId="0" applyAlignment="1" applyBorder="1" applyFont="1" applyNumberFormat="1">
      <alignment readingOrder="0" vertical="center"/>
    </xf>
    <xf borderId="4" fillId="5" fontId="1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5" fillId="5" fontId="1" numFmtId="164" xfId="0" applyAlignment="1" applyBorder="1" applyFont="1" applyNumberFormat="1">
      <alignment readingOrder="0" vertical="center"/>
    </xf>
    <xf borderId="2" fillId="5" fontId="1" numFmtId="0" xfId="0" applyAlignment="1" applyBorder="1" applyFont="1">
      <alignment readingOrder="0" vertical="center"/>
    </xf>
    <xf borderId="2" fillId="5" fontId="1" numFmtId="49" xfId="0" applyAlignment="1" applyBorder="1" applyFont="1" applyNumberFormat="1">
      <alignment readingOrder="0" vertical="center"/>
    </xf>
    <xf borderId="2" fillId="5" fontId="1" numFmtId="165" xfId="0" applyAlignment="1" applyBorder="1" applyFont="1" applyNumberFormat="1">
      <alignment readingOrder="0" vertical="center"/>
    </xf>
    <xf borderId="4" fillId="5" fontId="1" numFmtId="0" xfId="0" applyAlignment="1" applyBorder="1" applyFont="1">
      <alignment readingOrder="0" vertical="center"/>
    </xf>
    <xf borderId="4" fillId="5" fontId="1" numFmtId="49" xfId="0" applyAlignment="1" applyBorder="1" applyFont="1" applyNumberFormat="1">
      <alignment readingOrder="0" vertical="center"/>
    </xf>
    <xf borderId="4" fillId="5" fontId="1" numFmtId="164" xfId="0" applyAlignment="1" applyBorder="1" applyFont="1" applyNumberFormat="1">
      <alignment readingOrder="0" vertical="center"/>
    </xf>
    <xf borderId="4" fillId="5" fontId="1" numFmtId="165" xfId="0" applyAlignment="1" applyBorder="1" applyFont="1" applyNumberFormat="1">
      <alignment readingOrder="0" vertical="center"/>
    </xf>
    <xf borderId="4" fillId="6" fontId="1" numFmtId="0" xfId="0" applyAlignment="1" applyBorder="1" applyFill="1" applyFont="1">
      <alignment readingOrder="0" vertical="center"/>
    </xf>
    <xf borderId="4" fillId="6" fontId="1" numFmtId="49" xfId="0" applyAlignment="1" applyBorder="1" applyFont="1" applyNumberFormat="1">
      <alignment readingOrder="0" vertical="center"/>
    </xf>
    <xf borderId="4" fillId="6" fontId="1" numFmtId="164" xfId="0" applyAlignment="1" applyBorder="1" applyFont="1" applyNumberFormat="1">
      <alignment readingOrder="0" vertical="center"/>
    </xf>
    <xf borderId="4" fillId="6" fontId="1" numFmtId="165" xfId="0" applyAlignment="1" applyBorder="1" applyFont="1" applyNumberFormat="1">
      <alignment readingOrder="0" vertical="center"/>
    </xf>
    <xf borderId="4" fillId="0" fontId="1" numFmtId="0" xfId="0" applyAlignment="1" applyBorder="1" applyFont="1">
      <alignment readingOrder="0" vertical="center"/>
    </xf>
    <xf borderId="4" fillId="2" fontId="1" numFmtId="49" xfId="0" applyAlignment="1" applyBorder="1" applyFont="1" applyNumberFormat="1">
      <alignment readingOrder="0" vertical="center"/>
    </xf>
    <xf borderId="4" fillId="2" fontId="1" numFmtId="164" xfId="0" applyAlignment="1" applyBorder="1" applyFont="1" applyNumberFormat="1">
      <alignment readingOrder="0" vertical="center"/>
    </xf>
    <xf borderId="4" fillId="2" fontId="1" numFmtId="165" xfId="0" applyAlignment="1" applyBorder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1" fillId="2" fontId="2" numFmtId="49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right" vertical="center"/>
    </xf>
    <xf borderId="1" fillId="2" fontId="1" numFmtId="49" xfId="0" applyAlignment="1" applyBorder="1" applyFont="1" applyNumberFormat="1">
      <alignment horizontal="center" vertical="center"/>
    </xf>
    <xf borderId="1" fillId="2" fontId="1" numFmtId="49" xfId="0" applyAlignment="1" applyBorder="1" applyFont="1" applyNumberFormat="1">
      <alignment horizontal="right" vertical="center"/>
    </xf>
    <xf borderId="1" fillId="2" fontId="1" numFmtId="9" xfId="0" applyAlignment="1" applyBorder="1" applyFont="1" applyNumberFormat="1">
      <alignment vertical="center"/>
    </xf>
    <xf borderId="1" fillId="7" fontId="1" numFmtId="0" xfId="0" applyAlignment="1" applyBorder="1" applyFill="1" applyFont="1">
      <alignment vertical="center"/>
    </xf>
    <xf borderId="1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right" vertical="center"/>
    </xf>
    <xf borderId="1" fillId="7" fontId="1" numFmtId="49" xfId="0" applyAlignment="1" applyBorder="1" applyFont="1" applyNumberFormat="1">
      <alignment horizontal="right" vertical="center"/>
    </xf>
    <xf borderId="1" fillId="7" fontId="1" numFmtId="167" xfId="0" applyAlignment="1" applyBorder="1" applyFont="1" applyNumberFormat="1">
      <alignment vertical="center"/>
    </xf>
    <xf borderId="1" fillId="7" fontId="1" numFmtId="166" xfId="0" applyAlignment="1" applyBorder="1" applyFont="1" applyNumberFormat="1">
      <alignment vertical="center"/>
    </xf>
    <xf borderId="1" fillId="7" fontId="1" numFmtId="4" xfId="0" applyAlignment="1" applyBorder="1" applyFont="1" applyNumberFormat="1">
      <alignment vertical="center"/>
    </xf>
    <xf borderId="1" fillId="2" fontId="1" numFmtId="0" xfId="0" applyAlignment="1" applyBorder="1" applyFont="1">
      <alignment readingOrder="0" vertical="center"/>
    </xf>
    <xf borderId="1" fillId="2" fontId="1" numFmtId="167" xfId="0" applyAlignment="1" applyBorder="1" applyFont="1" applyNumberFormat="1">
      <alignment vertical="center"/>
    </xf>
    <xf borderId="1" fillId="2" fontId="1" numFmtId="166" xfId="0" applyAlignment="1" applyBorder="1" applyFont="1" applyNumberFormat="1">
      <alignment vertical="center"/>
    </xf>
    <xf borderId="1" fillId="8" fontId="1" numFmtId="0" xfId="0" applyAlignment="1" applyBorder="1" applyFill="1" applyFont="1">
      <alignment vertical="center"/>
    </xf>
    <xf borderId="1" fillId="8" fontId="1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right" vertical="center"/>
    </xf>
    <xf borderId="1" fillId="8" fontId="1" numFmtId="49" xfId="0" applyAlignment="1" applyBorder="1" applyFont="1" applyNumberFormat="1">
      <alignment horizontal="right" vertical="center"/>
    </xf>
    <xf borderId="1" fillId="8" fontId="1" numFmtId="167" xfId="0" applyAlignment="1" applyBorder="1" applyFont="1" applyNumberFormat="1">
      <alignment vertical="center"/>
    </xf>
    <xf borderId="1" fillId="8" fontId="1" numFmtId="166" xfId="0" applyAlignment="1" applyBorder="1" applyFont="1" applyNumberFormat="1">
      <alignment vertical="center"/>
    </xf>
    <xf borderId="1" fillId="8" fontId="1" numFmtId="4" xfId="0" applyAlignment="1" applyBorder="1" applyFont="1" applyNumberFormat="1">
      <alignment vertical="center"/>
    </xf>
    <xf borderId="0" fillId="0" fontId="1" numFmtId="167" xfId="0" applyAlignment="1" applyFont="1" applyNumberFormat="1">
      <alignment vertical="center"/>
    </xf>
    <xf borderId="1" fillId="8" fontId="1" numFmtId="49" xfId="0" applyAlignment="1" applyBorder="1" applyFont="1" applyNumberFormat="1">
      <alignment horizontal="center" vertical="center"/>
    </xf>
    <xf borderId="1" fillId="9" fontId="1" numFmtId="0" xfId="0" applyAlignment="1" applyBorder="1" applyFill="1" applyFont="1">
      <alignment vertical="center"/>
    </xf>
    <xf borderId="1" fillId="9" fontId="1" numFmtId="49" xfId="0" applyAlignment="1" applyBorder="1" applyFont="1" applyNumberFormat="1">
      <alignment horizontal="center" vertical="center"/>
    </xf>
    <xf borderId="1" fillId="9" fontId="1" numFmtId="49" xfId="0" applyAlignment="1" applyBorder="1" applyFont="1" applyNumberFormat="1">
      <alignment horizontal="right" vertical="center"/>
    </xf>
    <xf borderId="1" fillId="9" fontId="1" numFmtId="167" xfId="0" applyAlignment="1" applyBorder="1" applyFont="1" applyNumberFormat="1">
      <alignment vertical="center"/>
    </xf>
    <xf borderId="1" fillId="9" fontId="1" numFmtId="166" xfId="0" applyAlignment="1" applyBorder="1" applyFont="1" applyNumberFormat="1">
      <alignment vertical="center"/>
    </xf>
    <xf borderId="1" fillId="9" fontId="1" numFmtId="4" xfId="0" applyAlignment="1" applyBorder="1" applyFont="1" applyNumberFormat="1">
      <alignment vertical="center"/>
    </xf>
    <xf borderId="1" fillId="9" fontId="1" numFmtId="49" xfId="0" applyAlignment="1" applyBorder="1" applyFont="1" applyNumberFormat="1">
      <alignment horizontal="right" readingOrder="0" vertical="center"/>
    </xf>
    <xf borderId="0" fillId="9" fontId="1" numFmtId="0" xfId="0" applyAlignment="1" applyFont="1">
      <alignment vertical="center"/>
    </xf>
    <xf borderId="0" fillId="9" fontId="1" numFmtId="49" xfId="0" applyAlignment="1" applyFont="1" applyNumberFormat="1">
      <alignment horizontal="center" readingOrder="0" vertical="center"/>
    </xf>
    <xf borderId="0" fillId="9" fontId="1" numFmtId="49" xfId="0" applyAlignment="1" applyFont="1" applyNumberFormat="1">
      <alignment horizontal="right" readingOrder="0" vertical="center"/>
    </xf>
    <xf borderId="0" fillId="2" fontId="1" numFmtId="0" xfId="0" applyAlignment="1" applyFont="1">
      <alignment vertical="center"/>
    </xf>
    <xf borderId="0" fillId="9" fontId="1" numFmtId="0" xfId="0" applyAlignment="1" applyFont="1">
      <alignment horizontal="center" readingOrder="0" vertical="center"/>
    </xf>
    <xf borderId="0" fillId="2" fontId="1" numFmtId="49" xfId="0" applyAlignment="1" applyFont="1" applyNumberFormat="1">
      <alignment horizontal="center" vertical="center"/>
    </xf>
    <xf borderId="0" fillId="2" fontId="1" numFmtId="49" xfId="0" applyAlignment="1" applyFont="1" applyNumberFormat="1">
      <alignment horizontal="right" readingOrder="0" vertical="center"/>
    </xf>
    <xf borderId="0" fillId="2" fontId="1" numFmtId="167" xfId="0" applyAlignment="1" applyFont="1" applyNumberFormat="1">
      <alignment vertical="center"/>
    </xf>
    <xf borderId="0" fillId="2" fontId="1" numFmtId="166" xfId="0" applyAlignment="1" applyFont="1" applyNumberFormat="1">
      <alignment vertical="center"/>
    </xf>
    <xf borderId="0" fillId="2" fontId="1" numFmtId="4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6" fillId="2" fontId="1" numFmtId="0" xfId="0" applyAlignment="1" applyBorder="1" applyFont="1">
      <alignment vertical="center"/>
    </xf>
    <xf borderId="0" fillId="0" fontId="1" numFmtId="10" xfId="0" applyAlignment="1" applyFont="1" applyNumberFormat="1">
      <alignment vertical="center"/>
    </xf>
    <xf borderId="0" fillId="0" fontId="3" numFmtId="0" xfId="0" applyAlignment="1" applyFont="1">
      <alignment horizontal="right" vertical="center"/>
    </xf>
    <xf borderId="7" fillId="2" fontId="1" numFmtId="49" xfId="0" applyAlignment="1" applyBorder="1" applyFont="1" applyNumberForma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center" vertical="center"/>
    </xf>
    <xf borderId="4" fillId="2" fontId="1" numFmtId="49" xfId="0" applyAlignment="1" applyBorder="1" applyFont="1" applyNumberFormat="1">
      <alignment vertical="center"/>
    </xf>
    <xf borderId="4" fillId="2" fontId="1" numFmtId="49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2" fontId="1" numFmtId="0" xfId="0" applyAlignment="1" applyBorder="1" applyFont="1">
      <alignment vertical="center"/>
    </xf>
    <xf borderId="4" fillId="2" fontId="1" numFmtId="168" xfId="0" applyAlignment="1" applyBorder="1" applyFont="1" applyNumberFormat="1">
      <alignment vertical="center"/>
    </xf>
    <xf borderId="0" fillId="0" fontId="1" numFmtId="168" xfId="0" applyAlignment="1" applyFont="1" applyNumberFormat="1">
      <alignment vertical="center"/>
    </xf>
    <xf borderId="8" fillId="2" fontId="1" numFmtId="168" xfId="0" applyAlignment="1" applyBorder="1" applyFont="1" applyNumberFormat="1">
      <alignment vertical="center"/>
    </xf>
    <xf borderId="4" fillId="0" fontId="1" numFmtId="168" xfId="0" applyAlignment="1" applyBorder="1" applyFont="1" applyNumberFormat="1">
      <alignment vertical="center"/>
    </xf>
    <xf borderId="4" fillId="0" fontId="1" numFmtId="9" xfId="0" applyAlignment="1" applyBorder="1" applyFont="1" applyNumberFormat="1">
      <alignment vertical="center"/>
    </xf>
    <xf borderId="4" fillId="2" fontId="1" numFmtId="49" xfId="0" applyAlignment="1" applyBorder="1" applyFont="1" applyNumberFormat="1">
      <alignment horizontal="right" vertical="center"/>
    </xf>
    <xf borderId="4" fillId="0" fontId="6" numFmtId="168" xfId="0" applyAlignment="1" applyBorder="1" applyFont="1" applyNumberFormat="1">
      <alignment vertical="center"/>
    </xf>
    <xf borderId="9" fillId="0" fontId="1" numFmtId="168" xfId="0" applyAlignment="1" applyBorder="1" applyFont="1" applyNumberFormat="1">
      <alignment vertical="center"/>
    </xf>
    <xf borderId="10" fillId="2" fontId="1" numFmtId="0" xfId="0" applyAlignment="1" applyBorder="1" applyFont="1">
      <alignment vertical="center"/>
    </xf>
    <xf borderId="10" fillId="2" fontId="1" numFmtId="49" xfId="0" applyAlignment="1" applyBorder="1" applyFont="1" applyNumberFormat="1">
      <alignment vertical="center"/>
    </xf>
    <xf borderId="10" fillId="2" fontId="1" numFmtId="49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4" fillId="0" fontId="8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11" fillId="2" fontId="1" numFmtId="49" xfId="0" applyAlignment="1" applyBorder="1" applyFont="1" applyNumberFormat="1">
      <alignment vertical="center"/>
    </xf>
    <xf borderId="11" fillId="2" fontId="1" numFmtId="0" xfId="0" applyAlignment="1" applyBorder="1" applyFont="1">
      <alignment vertical="center"/>
    </xf>
    <xf borderId="12" fillId="2" fontId="1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sans-serif"/>
              </a:defRPr>
            </a:pPr>
            <a:r>
              <a:rPr b="0" i="0" sz="1400">
                <a:solidFill>
                  <a:srgbClr val="757575"/>
                </a:solidFill>
                <a:latin typeface="sans-serif"/>
              </a:rPr>
              <a:t>自宅の月別消費電力量と電気代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電気[kWh]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5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6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7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8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9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6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7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9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6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7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9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6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7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9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6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7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9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8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8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'使用量'!$D$12:$D$91</c:f>
            </c:strRef>
          </c:cat>
          <c:val>
            <c:numRef>
              <c:f>'使用量'!$E$12:$E$95</c:f>
              <c:numCache/>
            </c:numRef>
          </c:val>
        </c:ser>
        <c:axId val="1865544441"/>
        <c:axId val="28470516"/>
      </c:barChart>
      <c:catAx>
        <c:axId val="1865544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sans-serif"/>
              </a:defRPr>
            </a:pPr>
          </a:p>
        </c:txPr>
        <c:crossAx val="28470516"/>
      </c:catAx>
      <c:valAx>
        <c:axId val="28470516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sans-serif"/>
              </a:defRPr>
            </a:pPr>
          </a:p>
        </c:txPr>
        <c:crossAx val="1865544441"/>
      </c:valAx>
      <c:lineChart>
        <c:varyColors val="0"/>
        <c:ser>
          <c:idx val="1"/>
          <c:order val="1"/>
          <c:tx>
            <c:v>電気代[円]</c:v>
          </c:tx>
          <c:spPr>
            <a:ln cmpd="sng" w="28575">
              <a:solidFill>
                <a:srgbClr val="AAAAA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'使用量'!$D$12:$D$91</c:f>
            </c:strRef>
          </c:cat>
          <c:val>
            <c:numRef>
              <c:f>'使用量'!$F$12:$F$95</c:f>
              <c:numCache/>
            </c:numRef>
          </c:val>
          <c:smooth val="1"/>
        </c:ser>
        <c:axId val="2035754216"/>
        <c:axId val="1685535687"/>
      </c:lineChart>
      <c:catAx>
        <c:axId val="2035754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sans-serif"/>
              </a:defRPr>
            </a:pPr>
          </a:p>
        </c:txPr>
        <c:crossAx val="1685535687"/>
      </c:catAx>
      <c:valAx>
        <c:axId val="168553568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sans-serif"/>
              </a:defRPr>
            </a:pPr>
          </a:p>
        </c:txPr>
        <c:crossAx val="2035754216"/>
        <c:crosses val="max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sans-serif"/>
              </a:defRPr>
            </a:pPr>
            <a:r>
              <a:rPr b="0" i="0" sz="1400">
                <a:solidFill>
                  <a:srgbClr val="000000"/>
                </a:solidFill>
                <a:latin typeface="sans-serif"/>
              </a:rPr>
              <a:t>自宅の光熱費におけるCO2排出量と光熱費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CO2排出量計[kg]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6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5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6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7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8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9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6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7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49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6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7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9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6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7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69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5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6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7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79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'排出量'!$D$11:$D$90</c:f>
            </c:strRef>
          </c:cat>
          <c:val>
            <c:numRef>
              <c:f>'排出量'!$E$11:$E$90</c:f>
              <c:numCache/>
            </c:numRef>
          </c:val>
        </c:ser>
        <c:axId val="1319905240"/>
        <c:axId val="1813708864"/>
      </c:barChart>
      <c:catAx>
        <c:axId val="1319905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sans-serif"/>
              </a:defRPr>
            </a:pPr>
          </a:p>
        </c:txPr>
        <c:crossAx val="1813708864"/>
      </c:catAx>
      <c:valAx>
        <c:axId val="1813708864"/>
        <c:scaling>
          <c:orientation val="minMax"/>
          <c:max val="2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_);[Red]\(#,##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sans-serif"/>
              </a:defRPr>
            </a:pPr>
          </a:p>
        </c:txPr>
        <c:crossAx val="1319905240"/>
      </c:valAx>
      <c:lineChart>
        <c:varyColors val="0"/>
        <c:ser>
          <c:idx val="1"/>
          <c:order val="1"/>
          <c:tx>
            <c:v>光熱費[\]</c:v>
          </c:tx>
          <c:spPr>
            <a:ln cmpd="sng" w="28575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'排出量'!$D$11:$D$90</c:f>
            </c:strRef>
          </c:cat>
          <c:val>
            <c:numRef>
              <c:f>'排出量'!$F$11:$F$90</c:f>
              <c:numCache/>
            </c:numRef>
          </c:val>
          <c:smooth val="1"/>
        </c:ser>
        <c:axId val="1176633045"/>
        <c:axId val="446610246"/>
      </c:lineChart>
      <c:catAx>
        <c:axId val="117663304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sans-serif"/>
              </a:defRPr>
            </a:pPr>
          </a:p>
        </c:txPr>
        <c:crossAx val="446610246"/>
      </c:catAx>
      <c:valAx>
        <c:axId val="44661024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sans-serif"/>
              </a:defRPr>
            </a:pPr>
          </a:p>
        </c:txPr>
        <c:crossAx val="1176633045"/>
        <c:crosses val="max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各フェーズでの同10ヶ月の合計値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'排出量'!$J$133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'排出量'!$I$134:$I$136</c:f>
            </c:strRef>
          </c:cat>
          <c:val>
            <c:numRef>
              <c:f>'排出量'!$J$134:$J$137</c:f>
              <c:numCache/>
            </c:numRef>
          </c:val>
        </c:ser>
        <c:axId val="1248851662"/>
        <c:axId val="267383756"/>
      </c:barChart>
      <c:lineChart>
        <c:varyColors val="0"/>
        <c:ser>
          <c:idx val="1"/>
          <c:order val="1"/>
          <c:tx>
            <c:strRef>
              <c:f>'排出量'!$K$133</c:f>
            </c:strRef>
          </c:tx>
          <c:spPr>
            <a:ln cmpd="sng" w="762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'排出量'!$I$134:$I$136</c:f>
            </c:strRef>
          </c:cat>
          <c:val>
            <c:numRef>
              <c:f>'排出量'!$K$134:$K$137</c:f>
              <c:numCache/>
            </c:numRef>
          </c:val>
          <c:smooth val="0"/>
        </c:ser>
        <c:axId val="1248851662"/>
        <c:axId val="267383756"/>
      </c:lineChart>
      <c:catAx>
        <c:axId val="1248851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7383756"/>
      </c:catAx>
      <c:valAx>
        <c:axId val="267383756"/>
        <c:scaling>
          <c:orientation val="minMax"/>
          <c:max val="1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;(#,##0.0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885166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東京都　年別平均気温[℃]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気温[℃]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4A86E8">
                    <a:alpha val="0"/>
                  </a:srgbClr>
                </a:solidFill>
              </a:ln>
            </c:spPr>
            <c:trendlineType val="linear"/>
            <c:dispRSqr val="0"/>
            <c:dispEq val="1"/>
          </c:trendline>
          <c:cat>
            <c:strRef>
              <c:f>'東京都気温'!$A$3:$A$73</c:f>
            </c:strRef>
          </c:cat>
          <c:val>
            <c:numRef>
              <c:f>'東京都気温'!$D$3:$D$73</c:f>
              <c:numCache/>
            </c:numRef>
          </c:val>
          <c:smooth val="0"/>
        </c:ser>
        <c:axId val="1763204905"/>
        <c:axId val="1405250230"/>
      </c:lineChart>
      <c:catAx>
        <c:axId val="1763204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05250230"/>
      </c:catAx>
      <c:valAx>
        <c:axId val="1405250230"/>
        <c:scaling>
          <c:orientation val="minMax"/>
          <c:max val="1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32049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東京都　年別平均降水量[mm]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降水量[mm]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trendline>
            <c:name>Linear (降水量[mm])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'東京都気温'!$A$3:$A$73</c:f>
            </c:strRef>
          </c:cat>
          <c:val>
            <c:numRef>
              <c:f>'東京都気温'!$B$3:$B$71</c:f>
              <c:numCache/>
            </c:numRef>
          </c:val>
          <c:smooth val="0"/>
        </c:ser>
        <c:axId val="972761187"/>
        <c:axId val="1156169004"/>
      </c:lineChart>
      <c:catAx>
        <c:axId val="972761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156169004"/>
      </c:catAx>
      <c:valAx>
        <c:axId val="1156169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97276118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6</xdr:row>
      <xdr:rowOff>114300</xdr:rowOff>
    </xdr:from>
    <xdr:ext cx="5295900" cy="3705225"/>
    <xdr:graphicFrame>
      <xdr:nvGraphicFramePr>
        <xdr:cNvPr id="964241059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20</xdr:row>
      <xdr:rowOff>152400</xdr:rowOff>
    </xdr:from>
    <xdr:ext cx="4391025" cy="3895725"/>
    <xdr:graphicFrame>
      <xdr:nvGraphicFramePr>
        <xdr:cNvPr id="755510124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428625</xdr:colOff>
      <xdr:row>142</xdr:row>
      <xdr:rowOff>133350</xdr:rowOff>
    </xdr:from>
    <xdr:ext cx="5715000" cy="3533775"/>
    <xdr:graphicFrame>
      <xdr:nvGraphicFramePr>
        <xdr:cNvPr id="52224418" name="Chart 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35</xdr:row>
      <xdr:rowOff>200025</xdr:rowOff>
    </xdr:from>
    <xdr:ext cx="4819650" cy="3438525"/>
    <xdr:graphicFrame>
      <xdr:nvGraphicFramePr>
        <xdr:cNvPr id="1354731956" name="Chart 4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400050</xdr:colOff>
      <xdr:row>51</xdr:row>
      <xdr:rowOff>28575</xdr:rowOff>
    </xdr:from>
    <xdr:ext cx="3838575" cy="2743200"/>
    <xdr:graphicFrame>
      <xdr:nvGraphicFramePr>
        <xdr:cNvPr id="663530701" name="Chart 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ヒラギノ角ゴ pron w3"/>
        <a:ea typeface="ヒラギノ角ゴ pron w3"/>
        <a:cs typeface="ヒラギノ角ゴ pron w3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7.13"/>
    <col customWidth="1" min="3" max="3" width="3.88"/>
    <col customWidth="1" min="4" max="4" width="10.63"/>
    <col customWidth="1" min="5" max="10" width="10.5"/>
    <col customWidth="1" min="11" max="26" width="7.75"/>
  </cols>
  <sheetData>
    <row r="1" ht="15.75" customHeight="1">
      <c r="A1" s="1" t="s">
        <v>0</v>
      </c>
      <c r="B1" s="2"/>
      <c r="C1" s="2"/>
      <c r="D1" s="2"/>
      <c r="E1" s="3"/>
      <c r="F1" s="3"/>
      <c r="G1" s="3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1</v>
      </c>
      <c r="B2" s="1" t="s">
        <v>2</v>
      </c>
      <c r="C2" s="1" t="s">
        <v>2</v>
      </c>
      <c r="D2" s="1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3" t="s">
        <v>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2">
        <v>1.0</v>
      </c>
      <c r="B3" s="2">
        <v>2017.0</v>
      </c>
      <c r="C3" s="2">
        <v>5.0</v>
      </c>
      <c r="D3" s="1" t="s">
        <v>9</v>
      </c>
      <c r="E3" s="3">
        <v>153.0</v>
      </c>
      <c r="F3" s="3"/>
      <c r="G3" s="3">
        <v>16.0</v>
      </c>
      <c r="H3" s="3"/>
      <c r="I3" s="4">
        <v>8.0</v>
      </c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2">
        <v>2.0</v>
      </c>
      <c r="B4" s="2">
        <v>2017.0</v>
      </c>
      <c r="C4" s="2">
        <v>6.0</v>
      </c>
      <c r="D4" s="1" t="s">
        <v>10</v>
      </c>
      <c r="E4" s="3"/>
      <c r="F4" s="3"/>
      <c r="G4" s="3"/>
      <c r="H4" s="3"/>
      <c r="I4" s="4">
        <v>6.5</v>
      </c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">
        <v>3.0</v>
      </c>
      <c r="B5" s="2">
        <v>2017.0</v>
      </c>
      <c r="C5" s="2">
        <v>7.0</v>
      </c>
      <c r="D5" s="1" t="s">
        <v>11</v>
      </c>
      <c r="E5" s="3">
        <v>159.0</v>
      </c>
      <c r="F5" s="3"/>
      <c r="G5" s="3"/>
      <c r="H5" s="3"/>
      <c r="I5" s="4">
        <v>6.5</v>
      </c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2">
        <v>4.0</v>
      </c>
      <c r="B6" s="2">
        <v>2017.0</v>
      </c>
      <c r="C6" s="2">
        <v>8.0</v>
      </c>
      <c r="D6" s="1" t="s">
        <v>12</v>
      </c>
      <c r="E6" s="3">
        <v>175.0</v>
      </c>
      <c r="F6" s="3"/>
      <c r="G6" s="3">
        <v>7.0</v>
      </c>
      <c r="H6" s="3"/>
      <c r="I6" s="4">
        <v>7.5</v>
      </c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">
        <v>5.0</v>
      </c>
      <c r="B7" s="2">
        <v>2017.0</v>
      </c>
      <c r="C7" s="2">
        <v>9.0</v>
      </c>
      <c r="D7" s="1" t="s">
        <v>13</v>
      </c>
      <c r="E7" s="3">
        <v>158.0</v>
      </c>
      <c r="F7" s="3"/>
      <c r="G7" s="3">
        <v>8.0</v>
      </c>
      <c r="H7" s="3"/>
      <c r="I7" s="4">
        <v>7.5</v>
      </c>
      <c r="J7" s="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2">
        <v>6.0</v>
      </c>
      <c r="B8" s="2">
        <v>2017.0</v>
      </c>
      <c r="C8" s="2">
        <v>10.0</v>
      </c>
      <c r="D8" s="1" t="s">
        <v>14</v>
      </c>
      <c r="E8" s="3">
        <v>140.0</v>
      </c>
      <c r="F8" s="3"/>
      <c r="G8" s="3">
        <v>16.0</v>
      </c>
      <c r="H8" s="3"/>
      <c r="I8" s="4"/>
      <c r="J8" s="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">
        <v>7.0</v>
      </c>
      <c r="B9" s="2">
        <v>2017.0</v>
      </c>
      <c r="C9" s="2">
        <v>11.0</v>
      </c>
      <c r="D9" s="1" t="s">
        <v>15</v>
      </c>
      <c r="E9" s="3">
        <v>158.0</v>
      </c>
      <c r="F9" s="3"/>
      <c r="G9" s="3">
        <v>24.0</v>
      </c>
      <c r="H9" s="3"/>
      <c r="I9" s="4"/>
      <c r="J9" s="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2">
        <v>8.0</v>
      </c>
      <c r="B10" s="2">
        <v>2017.0</v>
      </c>
      <c r="C10" s="2">
        <v>12.0</v>
      </c>
      <c r="D10" s="1" t="s">
        <v>16</v>
      </c>
      <c r="E10" s="3"/>
      <c r="F10" s="3"/>
      <c r="G10" s="3"/>
      <c r="H10" s="3"/>
      <c r="I10" s="4">
        <v>8.5</v>
      </c>
      <c r="J10" s="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" t="s">
        <v>1</v>
      </c>
      <c r="B11" s="1" t="s">
        <v>2</v>
      </c>
      <c r="C11" s="1" t="s">
        <v>2</v>
      </c>
      <c r="D11" s="1" t="s">
        <v>2</v>
      </c>
      <c r="E11" s="3" t="s">
        <v>3</v>
      </c>
      <c r="F11" s="3" t="s">
        <v>17</v>
      </c>
      <c r="G11" s="3" t="s">
        <v>5</v>
      </c>
      <c r="H11" s="3" t="s">
        <v>6</v>
      </c>
      <c r="I11" s="4" t="s">
        <v>7</v>
      </c>
      <c r="J11" s="3" t="s">
        <v>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>
        <v>9.0</v>
      </c>
      <c r="B12" s="6">
        <v>2018.0</v>
      </c>
      <c r="C12" s="6">
        <v>1.0</v>
      </c>
      <c r="D12" s="7" t="s">
        <v>18</v>
      </c>
      <c r="E12" s="8">
        <v>194.0</v>
      </c>
      <c r="F12" s="8">
        <v>4738.0</v>
      </c>
      <c r="G12" s="8">
        <v>25.0</v>
      </c>
      <c r="H12" s="8">
        <v>4319.0</v>
      </c>
      <c r="I12" s="9">
        <v>8.5</v>
      </c>
      <c r="J12" s="8">
        <v>1675.5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6">
        <v>10.0</v>
      </c>
      <c r="B13" s="6">
        <v>2018.0</v>
      </c>
      <c r="C13" s="6">
        <v>2.0</v>
      </c>
      <c r="D13" s="7" t="s">
        <v>19</v>
      </c>
      <c r="E13" s="8">
        <v>185.0</v>
      </c>
      <c r="F13" s="8">
        <v>4521.0</v>
      </c>
      <c r="G13" s="8">
        <v>24.0</v>
      </c>
      <c r="H13" s="8">
        <v>4200.0</v>
      </c>
      <c r="I13" s="9">
        <v>9.5</v>
      </c>
      <c r="J13" s="8">
        <v>3637.0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>
        <v>11.0</v>
      </c>
      <c r="B14" s="6">
        <v>2018.0</v>
      </c>
      <c r="C14" s="6">
        <v>3.0</v>
      </c>
      <c r="D14" s="7" t="s">
        <v>20</v>
      </c>
      <c r="E14" s="8">
        <v>153.0</v>
      </c>
      <c r="F14" s="8">
        <v>3732.0</v>
      </c>
      <c r="G14" s="8">
        <v>21.0</v>
      </c>
      <c r="H14" s="8">
        <v>3853.0</v>
      </c>
      <c r="I14" s="9">
        <v>9.5</v>
      </c>
      <c r="J14" s="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">
        <v>12.0</v>
      </c>
      <c r="B15" s="6">
        <v>2018.0</v>
      </c>
      <c r="C15" s="6">
        <v>4.0</v>
      </c>
      <c r="D15" s="7" t="s">
        <v>21</v>
      </c>
      <c r="E15" s="8">
        <v>136.0</v>
      </c>
      <c r="F15" s="8">
        <v>3332.0</v>
      </c>
      <c r="G15" s="8">
        <v>21.0</v>
      </c>
      <c r="H15" s="8">
        <v>3885.0</v>
      </c>
      <c r="I15" s="9">
        <v>8.0</v>
      </c>
      <c r="J15" s="8">
        <v>3209.0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>
        <v>13.0</v>
      </c>
      <c r="B16" s="6">
        <v>2018.0</v>
      </c>
      <c r="C16" s="6">
        <v>5.0</v>
      </c>
      <c r="D16" s="7" t="s">
        <v>22</v>
      </c>
      <c r="E16" s="8">
        <v>148.0</v>
      </c>
      <c r="F16" s="8">
        <v>3720.0</v>
      </c>
      <c r="G16" s="8">
        <v>10.0</v>
      </c>
      <c r="H16" s="8">
        <v>2418.0</v>
      </c>
      <c r="I16" s="9">
        <v>8.0</v>
      </c>
      <c r="J16" s="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6">
        <v>14.0</v>
      </c>
      <c r="B17" s="6">
        <v>2018.0</v>
      </c>
      <c r="C17" s="6">
        <v>6.0</v>
      </c>
      <c r="D17" s="7" t="s">
        <v>23</v>
      </c>
      <c r="E17" s="8">
        <v>135.0</v>
      </c>
      <c r="F17" s="8">
        <v>3396.0</v>
      </c>
      <c r="G17" s="8">
        <v>11.0</v>
      </c>
      <c r="H17" s="8">
        <v>2567.0</v>
      </c>
      <c r="I17" s="9">
        <v>8.0</v>
      </c>
      <c r="J17" s="8">
        <v>3209.0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>
        <v>15.0</v>
      </c>
      <c r="B18" s="6">
        <v>2018.0</v>
      </c>
      <c r="C18" s="6">
        <v>7.0</v>
      </c>
      <c r="D18" s="7" t="s">
        <v>24</v>
      </c>
      <c r="E18" s="8">
        <v>192.0</v>
      </c>
      <c r="F18" s="8">
        <v>4928.0</v>
      </c>
      <c r="G18" s="8">
        <v>9.0</v>
      </c>
      <c r="H18" s="8">
        <v>2294.0</v>
      </c>
      <c r="I18" s="9">
        <v>8.0</v>
      </c>
      <c r="J18" s="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>
        <v>16.0</v>
      </c>
      <c r="B19" s="6">
        <v>2018.0</v>
      </c>
      <c r="C19" s="6">
        <v>8.0</v>
      </c>
      <c r="D19" s="7" t="s">
        <v>25</v>
      </c>
      <c r="E19" s="8">
        <v>218.0</v>
      </c>
      <c r="F19" s="8">
        <v>5656.0</v>
      </c>
      <c r="G19" s="8">
        <v>5.0</v>
      </c>
      <c r="H19" s="8">
        <v>1743.0</v>
      </c>
      <c r="I19" s="9">
        <v>7.0</v>
      </c>
      <c r="J19" s="8">
        <v>3161.0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>
        <v>17.0</v>
      </c>
      <c r="B20" s="6">
        <v>2018.0</v>
      </c>
      <c r="C20" s="6">
        <v>9.0</v>
      </c>
      <c r="D20" s="7" t="s">
        <v>26</v>
      </c>
      <c r="E20" s="8">
        <v>193.0</v>
      </c>
      <c r="F20" s="8">
        <v>5030.0</v>
      </c>
      <c r="G20" s="8">
        <v>8.0</v>
      </c>
      <c r="H20" s="8">
        <v>2170.0</v>
      </c>
      <c r="I20" s="9">
        <v>7.0</v>
      </c>
      <c r="J20" s="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>
        <v>18.0</v>
      </c>
      <c r="B21" s="6">
        <v>2018.0</v>
      </c>
      <c r="C21" s="6">
        <v>10.0</v>
      </c>
      <c r="D21" s="7" t="s">
        <v>27</v>
      </c>
      <c r="E21" s="8">
        <v>141.0</v>
      </c>
      <c r="F21" s="8">
        <v>3662.0</v>
      </c>
      <c r="G21" s="8">
        <v>12.0</v>
      </c>
      <c r="H21" s="8">
        <v>2748.0</v>
      </c>
      <c r="I21" s="9">
        <v>9.0</v>
      </c>
      <c r="J21" s="8">
        <v>3494.0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>
        <v>19.0</v>
      </c>
      <c r="B22" s="6">
        <v>2018.0</v>
      </c>
      <c r="C22" s="6">
        <v>11.0</v>
      </c>
      <c r="D22" s="7" t="s">
        <v>28</v>
      </c>
      <c r="E22" s="8">
        <v>150.0</v>
      </c>
      <c r="F22" s="8">
        <v>3948.0</v>
      </c>
      <c r="G22" s="8">
        <v>14.0</v>
      </c>
      <c r="H22" s="8">
        <v>3050.0</v>
      </c>
      <c r="I22" s="9">
        <v>9.0</v>
      </c>
      <c r="J22" s="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>
        <v>20.0</v>
      </c>
      <c r="B23" s="6">
        <v>2018.0</v>
      </c>
      <c r="C23" s="6">
        <v>12.0</v>
      </c>
      <c r="D23" s="7" t="s">
        <v>29</v>
      </c>
      <c r="E23" s="8">
        <v>161.0</v>
      </c>
      <c r="F23" s="8">
        <v>4281.0</v>
      </c>
      <c r="G23" s="8">
        <v>21.0</v>
      </c>
      <c r="H23" s="8">
        <v>4068.0</v>
      </c>
      <c r="I23" s="9">
        <v>11.0</v>
      </c>
      <c r="J23" s="8">
        <v>4293.0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>
        <v>21.0</v>
      </c>
      <c r="B24" s="6">
        <v>2019.0</v>
      </c>
      <c r="C24" s="6">
        <v>1.0</v>
      </c>
      <c r="D24" s="7" t="s">
        <v>30</v>
      </c>
      <c r="E24" s="8">
        <v>197.0</v>
      </c>
      <c r="F24" s="8">
        <v>5346.0</v>
      </c>
      <c r="G24" s="8">
        <v>33.0</v>
      </c>
      <c r="H24" s="8">
        <v>5698.0</v>
      </c>
      <c r="I24" s="9">
        <v>11.0</v>
      </c>
      <c r="J24" s="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>
        <v>22.0</v>
      </c>
      <c r="B25" s="6">
        <v>2019.0</v>
      </c>
      <c r="C25" s="6">
        <v>2.0</v>
      </c>
      <c r="D25" s="7" t="s">
        <v>31</v>
      </c>
      <c r="E25" s="8">
        <v>169.0</v>
      </c>
      <c r="F25" s="8">
        <v>4607.0</v>
      </c>
      <c r="G25" s="8">
        <v>22.0</v>
      </c>
      <c r="H25" s="8">
        <v>4283.0</v>
      </c>
      <c r="I25" s="9">
        <v>10.0</v>
      </c>
      <c r="J25" s="8">
        <v>3779.0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>
        <v>23.0</v>
      </c>
      <c r="B26" s="6">
        <v>2019.0</v>
      </c>
      <c r="C26" s="6">
        <v>3.0</v>
      </c>
      <c r="D26" s="7" t="s">
        <v>32</v>
      </c>
      <c r="E26" s="8">
        <v>143.0</v>
      </c>
      <c r="F26" s="8">
        <v>3303.0</v>
      </c>
      <c r="G26" s="8">
        <v>22.0</v>
      </c>
      <c r="H26" s="8">
        <v>4304.0</v>
      </c>
      <c r="I26" s="9">
        <v>10.0</v>
      </c>
      <c r="J26" s="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>
        <v>24.0</v>
      </c>
      <c r="B27" s="6">
        <v>2019.0</v>
      </c>
      <c r="C27" s="6">
        <v>4.0</v>
      </c>
      <c r="D27" s="7" t="s">
        <v>33</v>
      </c>
      <c r="E27" s="8">
        <v>137.0</v>
      </c>
      <c r="F27" s="8">
        <v>3152.0</v>
      </c>
      <c r="G27" s="8">
        <v>28.0</v>
      </c>
      <c r="H27" s="8">
        <v>4799.0</v>
      </c>
      <c r="I27" s="9">
        <v>10.5</v>
      </c>
      <c r="J27" s="8">
        <v>4036.0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>
        <v>25.0</v>
      </c>
      <c r="B28" s="6">
        <v>2019.0</v>
      </c>
      <c r="C28" s="6">
        <v>5.0</v>
      </c>
      <c r="D28" s="7" t="s">
        <v>34</v>
      </c>
      <c r="E28" s="8">
        <v>136.0</v>
      </c>
      <c r="F28" s="8">
        <v>3578.0</v>
      </c>
      <c r="G28" s="8">
        <v>19.0</v>
      </c>
      <c r="H28" s="8">
        <v>3561.0</v>
      </c>
      <c r="I28" s="9">
        <v>10.5</v>
      </c>
      <c r="J28" s="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>
        <v>26.0</v>
      </c>
      <c r="B29" s="6">
        <v>2019.0</v>
      </c>
      <c r="C29" s="6">
        <v>6.0</v>
      </c>
      <c r="D29" s="7" t="s">
        <v>35</v>
      </c>
      <c r="E29" s="8">
        <v>172.0</v>
      </c>
      <c r="F29" s="8">
        <v>4504.0</v>
      </c>
      <c r="G29" s="8">
        <v>11.0</v>
      </c>
      <c r="H29" s="8">
        <v>2362.0</v>
      </c>
      <c r="I29" s="9">
        <v>8.5</v>
      </c>
      <c r="J29" s="8">
        <v>3351.0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>
        <v>27.0</v>
      </c>
      <c r="B30" s="6">
        <v>2019.0</v>
      </c>
      <c r="C30" s="6">
        <v>7.0</v>
      </c>
      <c r="D30" s="7" t="s">
        <v>36</v>
      </c>
      <c r="E30" s="8">
        <v>178.0</v>
      </c>
      <c r="F30" s="8">
        <v>4642.0</v>
      </c>
      <c r="G30" s="8">
        <v>12.0</v>
      </c>
      <c r="H30" s="8">
        <v>2487.0</v>
      </c>
      <c r="I30" s="9">
        <v>8.5</v>
      </c>
      <c r="J30" s="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>
        <v>28.0</v>
      </c>
      <c r="B31" s="6">
        <v>2019.0</v>
      </c>
      <c r="C31" s="6">
        <v>8.0</v>
      </c>
      <c r="D31" s="7" t="s">
        <v>37</v>
      </c>
      <c r="E31" s="8">
        <v>249.0</v>
      </c>
      <c r="F31" s="8">
        <v>6476.0</v>
      </c>
      <c r="G31" s="8">
        <v>11.0</v>
      </c>
      <c r="H31" s="8">
        <v>2316.0</v>
      </c>
      <c r="I31" s="9">
        <v>9.0</v>
      </c>
      <c r="J31" s="8">
        <v>3494.0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>
        <v>29.0</v>
      </c>
      <c r="B32" s="6">
        <v>2019.0</v>
      </c>
      <c r="C32" s="6">
        <v>9.0</v>
      </c>
      <c r="D32" s="7" t="s">
        <v>38</v>
      </c>
      <c r="E32" s="8">
        <v>211.0</v>
      </c>
      <c r="F32" s="8">
        <v>5417.0</v>
      </c>
      <c r="G32" s="8">
        <v>12.0</v>
      </c>
      <c r="H32" s="8">
        <v>2428.0</v>
      </c>
      <c r="I32" s="9">
        <v>9.0</v>
      </c>
      <c r="J32" s="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>
        <v>30.0</v>
      </c>
      <c r="B33" s="6">
        <v>2019.0</v>
      </c>
      <c r="C33" s="6">
        <v>10.0</v>
      </c>
      <c r="D33" s="7" t="s">
        <v>39</v>
      </c>
      <c r="E33" s="8">
        <v>182.0</v>
      </c>
      <c r="F33" s="8">
        <v>4631.0</v>
      </c>
      <c r="G33" s="8">
        <v>11.0</v>
      </c>
      <c r="H33" s="8">
        <v>2279.0</v>
      </c>
      <c r="I33" s="9">
        <v>9.0</v>
      </c>
      <c r="J33" s="8">
        <v>3525.0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>
        <v>31.0</v>
      </c>
      <c r="B34" s="6">
        <v>2019.0</v>
      </c>
      <c r="C34" s="6">
        <v>11.0</v>
      </c>
      <c r="D34" s="7" t="s">
        <v>40</v>
      </c>
      <c r="E34" s="8">
        <v>150.0</v>
      </c>
      <c r="F34" s="8">
        <v>3857.0</v>
      </c>
      <c r="G34" s="8">
        <v>16.0</v>
      </c>
      <c r="H34" s="8">
        <v>3036.0</v>
      </c>
      <c r="I34" s="9">
        <v>9.0</v>
      </c>
      <c r="J34" s="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>
        <v>32.0</v>
      </c>
      <c r="B35" s="6">
        <v>2019.0</v>
      </c>
      <c r="C35" s="6">
        <v>12.0</v>
      </c>
      <c r="D35" s="7" t="s">
        <v>41</v>
      </c>
      <c r="E35" s="8">
        <v>165.0</v>
      </c>
      <c r="F35" s="8">
        <v>4232.0</v>
      </c>
      <c r="G35" s="8">
        <v>21.0</v>
      </c>
      <c r="H35" s="8">
        <v>3730.0</v>
      </c>
      <c r="I35" s="9">
        <v>9.0</v>
      </c>
      <c r="J35" s="8">
        <v>3559.0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>
        <v>33.0</v>
      </c>
      <c r="B36" s="6">
        <v>2020.0</v>
      </c>
      <c r="C36" s="6">
        <v>1.0</v>
      </c>
      <c r="D36" s="7" t="s">
        <v>42</v>
      </c>
      <c r="E36" s="8">
        <v>199.0</v>
      </c>
      <c r="F36" s="8">
        <v>5111.0</v>
      </c>
      <c r="G36" s="8">
        <v>27.0</v>
      </c>
      <c r="H36" s="8">
        <v>4484.0</v>
      </c>
      <c r="I36" s="9">
        <v>9.0</v>
      </c>
      <c r="J36" s="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>
        <v>34.0</v>
      </c>
      <c r="B37" s="6">
        <v>2020.0</v>
      </c>
      <c r="C37" s="6">
        <v>2.0</v>
      </c>
      <c r="D37" s="7" t="s">
        <v>43</v>
      </c>
      <c r="E37" s="8">
        <v>170.0</v>
      </c>
      <c r="F37" s="8">
        <v>4332.0</v>
      </c>
      <c r="G37" s="8">
        <v>19.0</v>
      </c>
      <c r="H37" s="8">
        <v>3440.0</v>
      </c>
      <c r="I37" s="9">
        <v>9.0</v>
      </c>
      <c r="J37" s="8">
        <v>3559.0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0">
        <v>35.0</v>
      </c>
      <c r="B38" s="10">
        <v>2020.0</v>
      </c>
      <c r="C38" s="10">
        <v>3.0</v>
      </c>
      <c r="D38" s="11" t="s">
        <v>44</v>
      </c>
      <c r="E38" s="12">
        <v>105.0</v>
      </c>
      <c r="F38" s="12">
        <v>2729.0</v>
      </c>
      <c r="G38" s="12">
        <v>19.0</v>
      </c>
      <c r="H38" s="12">
        <v>3446.0</v>
      </c>
      <c r="I38" s="13">
        <v>9.0</v>
      </c>
      <c r="J38" s="1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0">
        <v>36.0</v>
      </c>
      <c r="B39" s="10">
        <v>2020.0</v>
      </c>
      <c r="C39" s="10">
        <v>4.0</v>
      </c>
      <c r="D39" s="11" t="s">
        <v>45</v>
      </c>
      <c r="E39" s="12">
        <v>107.0</v>
      </c>
      <c r="F39" s="12">
        <v>2775.0</v>
      </c>
      <c r="G39" s="12">
        <v>18.0</v>
      </c>
      <c r="H39" s="12">
        <v>3308.0</v>
      </c>
      <c r="I39" s="13">
        <v>7.0</v>
      </c>
      <c r="J39" s="12">
        <v>3220.0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0">
        <v>37.0</v>
      </c>
      <c r="B40" s="10">
        <v>2020.0</v>
      </c>
      <c r="C40" s="10">
        <v>5.0</v>
      </c>
      <c r="D40" s="11" t="s">
        <v>46</v>
      </c>
      <c r="E40" s="12">
        <v>95.0</v>
      </c>
      <c r="F40" s="12">
        <v>2535.0</v>
      </c>
      <c r="G40" s="12">
        <v>13.0</v>
      </c>
      <c r="H40" s="12">
        <v>2600.0</v>
      </c>
      <c r="I40" s="13">
        <v>7.0</v>
      </c>
      <c r="J40" s="12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0">
        <v>38.0</v>
      </c>
      <c r="B41" s="10">
        <v>2020.0</v>
      </c>
      <c r="C41" s="10">
        <v>6.0</v>
      </c>
      <c r="D41" s="11" t="s">
        <v>47</v>
      </c>
      <c r="E41" s="12">
        <v>103.0</v>
      </c>
      <c r="F41" s="12">
        <v>2694.0</v>
      </c>
      <c r="G41" s="12">
        <v>9.0</v>
      </c>
      <c r="H41" s="12">
        <v>2033.0</v>
      </c>
      <c r="I41" s="13">
        <v>7.5</v>
      </c>
      <c r="J41" s="12">
        <v>3245.0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0">
        <v>39.0</v>
      </c>
      <c r="B42" s="10">
        <v>2020.0</v>
      </c>
      <c r="C42" s="10">
        <v>7.0</v>
      </c>
      <c r="D42" s="11" t="s">
        <v>48</v>
      </c>
      <c r="E42" s="12">
        <v>112.0</v>
      </c>
      <c r="F42" s="12">
        <v>2842.0</v>
      </c>
      <c r="G42" s="12">
        <v>9.0</v>
      </c>
      <c r="H42" s="12">
        <v>2030.0</v>
      </c>
      <c r="I42" s="13">
        <v>7.5</v>
      </c>
      <c r="J42" s="12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0">
        <v>40.0</v>
      </c>
      <c r="B43" s="10">
        <v>2020.0</v>
      </c>
      <c r="C43" s="10">
        <v>8.0</v>
      </c>
      <c r="D43" s="11" t="s">
        <v>49</v>
      </c>
      <c r="E43" s="12">
        <v>166.0</v>
      </c>
      <c r="F43" s="12">
        <v>4123.0</v>
      </c>
      <c r="G43" s="12">
        <v>9.0</v>
      </c>
      <c r="H43" s="12">
        <v>2027.0</v>
      </c>
      <c r="I43" s="13">
        <v>7.0</v>
      </c>
      <c r="J43" s="12">
        <v>3220.0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0">
        <v>41.0</v>
      </c>
      <c r="B44" s="10">
        <v>2020.0</v>
      </c>
      <c r="C44" s="10">
        <v>9.0</v>
      </c>
      <c r="D44" s="11" t="s">
        <v>50</v>
      </c>
      <c r="E44" s="12">
        <v>196.0</v>
      </c>
      <c r="F44" s="12">
        <v>4752.0</v>
      </c>
      <c r="G44" s="12">
        <v>7.0</v>
      </c>
      <c r="H44" s="12">
        <v>1730.0</v>
      </c>
      <c r="I44" s="13">
        <v>7.0</v>
      </c>
      <c r="J44" s="12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0">
        <v>42.0</v>
      </c>
      <c r="B45" s="10">
        <v>2020.0</v>
      </c>
      <c r="C45" s="10">
        <v>10.0</v>
      </c>
      <c r="D45" s="11" t="s">
        <v>51</v>
      </c>
      <c r="E45" s="12">
        <v>114.0</v>
      </c>
      <c r="F45" s="12">
        <v>2686.0</v>
      </c>
      <c r="G45" s="12">
        <v>15.0</v>
      </c>
      <c r="H45" s="12">
        <v>2784.0</v>
      </c>
      <c r="I45" s="13">
        <v>7.5</v>
      </c>
      <c r="J45" s="12">
        <v>3245.0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 t="s">
        <v>52</v>
      </c>
      <c r="Z45" s="5"/>
    </row>
    <row r="46" ht="15.75" customHeight="1">
      <c r="A46" s="10">
        <v>43.0</v>
      </c>
      <c r="B46" s="10">
        <v>2020.0</v>
      </c>
      <c r="C46" s="10">
        <v>11.0</v>
      </c>
      <c r="D46" s="11" t="s">
        <v>53</v>
      </c>
      <c r="E46" s="12">
        <v>104.0</v>
      </c>
      <c r="F46" s="12">
        <v>2452.0</v>
      </c>
      <c r="G46" s="12">
        <v>11.0</v>
      </c>
      <c r="H46" s="12">
        <v>2186.0</v>
      </c>
      <c r="I46" s="13">
        <v>7.5</v>
      </c>
      <c r="J46" s="12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0">
        <v>44.0</v>
      </c>
      <c r="B47" s="10">
        <v>2020.0</v>
      </c>
      <c r="C47" s="10">
        <v>12.0</v>
      </c>
      <c r="D47" s="11" t="s">
        <v>54</v>
      </c>
      <c r="E47" s="12">
        <v>103.0</v>
      </c>
      <c r="F47" s="12">
        <v>2396.0</v>
      </c>
      <c r="G47" s="12">
        <v>20.0</v>
      </c>
      <c r="H47" s="12">
        <v>3264.0</v>
      </c>
      <c r="I47" s="13">
        <v>10.0</v>
      </c>
      <c r="J47" s="12">
        <v>3850.0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0">
        <v>45.0</v>
      </c>
      <c r="B48" s="14" t="s">
        <v>55</v>
      </c>
      <c r="C48" s="14" t="s">
        <v>56</v>
      </c>
      <c r="D48" s="11" t="s">
        <v>57</v>
      </c>
      <c r="E48" s="12">
        <v>114.0</v>
      </c>
      <c r="F48" s="12">
        <v>2570.0</v>
      </c>
      <c r="G48" s="12">
        <v>34.0</v>
      </c>
      <c r="H48" s="12">
        <v>4731.0</v>
      </c>
      <c r="I48" s="13">
        <v>10.0</v>
      </c>
      <c r="J48" s="12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0">
        <v>46.0</v>
      </c>
      <c r="B49" s="14" t="s">
        <v>55</v>
      </c>
      <c r="C49" s="14" t="s">
        <v>58</v>
      </c>
      <c r="D49" s="11" t="s">
        <v>59</v>
      </c>
      <c r="E49" s="12">
        <v>110.0</v>
      </c>
      <c r="F49" s="12">
        <v>2503.0</v>
      </c>
      <c r="G49" s="12">
        <v>22.0</v>
      </c>
      <c r="H49" s="12">
        <v>3447.0</v>
      </c>
      <c r="I49" s="13">
        <v>8.0</v>
      </c>
      <c r="J49" s="12">
        <v>3269.0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0">
        <v>47.0</v>
      </c>
      <c r="B50" s="14" t="s">
        <v>55</v>
      </c>
      <c r="C50" s="14" t="s">
        <v>60</v>
      </c>
      <c r="D50" s="11" t="s">
        <v>61</v>
      </c>
      <c r="E50" s="12">
        <v>94.0</v>
      </c>
      <c r="F50" s="12">
        <v>2253.0</v>
      </c>
      <c r="G50" s="12">
        <v>24.0</v>
      </c>
      <c r="H50" s="12">
        <v>3722.0</v>
      </c>
      <c r="I50" s="13">
        <v>8.0</v>
      </c>
      <c r="J50" s="12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0">
        <v>48.0</v>
      </c>
      <c r="B51" s="14" t="s">
        <v>55</v>
      </c>
      <c r="C51" s="14" t="s">
        <v>62</v>
      </c>
      <c r="D51" s="11" t="s">
        <v>63</v>
      </c>
      <c r="E51" s="12">
        <v>99.0</v>
      </c>
      <c r="F51" s="12">
        <v>2394.0</v>
      </c>
      <c r="G51" s="12">
        <v>15.0</v>
      </c>
      <c r="H51" s="12">
        <v>2719.0</v>
      </c>
      <c r="I51" s="13">
        <v>6.0</v>
      </c>
      <c r="J51" s="12">
        <v>3172.0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0">
        <v>49.0</v>
      </c>
      <c r="B52" s="14" t="s">
        <v>55</v>
      </c>
      <c r="C52" s="14" t="s">
        <v>64</v>
      </c>
      <c r="D52" s="11" t="s">
        <v>65</v>
      </c>
      <c r="E52" s="12">
        <v>96.0</v>
      </c>
      <c r="F52" s="12">
        <v>2440.0</v>
      </c>
      <c r="G52" s="12">
        <v>9.0</v>
      </c>
      <c r="H52" s="12">
        <v>1974.0</v>
      </c>
      <c r="I52" s="13">
        <v>6.0</v>
      </c>
      <c r="J52" s="12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5">
        <v>50.0</v>
      </c>
      <c r="B53" s="16" t="s">
        <v>55</v>
      </c>
      <c r="C53" s="16" t="s">
        <v>66</v>
      </c>
      <c r="D53" s="17" t="s">
        <v>67</v>
      </c>
      <c r="E53" s="18">
        <v>99.0</v>
      </c>
      <c r="F53" s="18">
        <v>3731.0</v>
      </c>
      <c r="G53" s="18">
        <v>6.0</v>
      </c>
      <c r="H53" s="18">
        <v>1576.0</v>
      </c>
      <c r="I53" s="19">
        <v>4.5</v>
      </c>
      <c r="J53" s="18">
        <v>3124.0</v>
      </c>
      <c r="K53" s="5">
        <v>99.0</v>
      </c>
      <c r="L53" s="5">
        <v>103.0</v>
      </c>
      <c r="M53" s="5">
        <f t="shared" ref="M53:M55" si="1">1-K53/L53</f>
        <v>0.03883495146</v>
      </c>
      <c r="N53" s="5">
        <v>3731.0</v>
      </c>
      <c r="O53" s="5">
        <v>2694.0</v>
      </c>
      <c r="P53" s="5">
        <f t="shared" ref="P53:P54" si="2">N53/O53-1</f>
        <v>0.3849294729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5">
        <v>51.0</v>
      </c>
      <c r="B54" s="16" t="s">
        <v>55</v>
      </c>
      <c r="C54" s="16" t="s">
        <v>68</v>
      </c>
      <c r="D54" s="17" t="s">
        <v>69</v>
      </c>
      <c r="E54" s="18">
        <v>108.0</v>
      </c>
      <c r="F54" s="18">
        <v>4006.0</v>
      </c>
      <c r="G54" s="18">
        <v>5.0</v>
      </c>
      <c r="H54" s="18">
        <v>1746.0</v>
      </c>
      <c r="I54" s="19">
        <v>4.5</v>
      </c>
      <c r="J54" s="18"/>
      <c r="K54" s="5">
        <v>108.0</v>
      </c>
      <c r="L54" s="5">
        <v>112.0</v>
      </c>
      <c r="M54" s="5">
        <f t="shared" si="1"/>
        <v>0.03571428571</v>
      </c>
      <c r="N54" s="5">
        <v>4006.0</v>
      </c>
      <c r="O54" s="5">
        <v>2842.0</v>
      </c>
      <c r="P54" s="5">
        <f t="shared" si="2"/>
        <v>0.4095707248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5">
        <v>52.0</v>
      </c>
      <c r="B55" s="16" t="s">
        <v>55</v>
      </c>
      <c r="C55" s="16" t="s">
        <v>70</v>
      </c>
      <c r="D55" s="17" t="s">
        <v>71</v>
      </c>
      <c r="E55" s="18">
        <v>191.0</v>
      </c>
      <c r="F55" s="18">
        <v>6282.0</v>
      </c>
      <c r="G55" s="18">
        <v>5.0</v>
      </c>
      <c r="H55" s="18">
        <v>1739.0</v>
      </c>
      <c r="I55" s="19">
        <v>5.5</v>
      </c>
      <c r="J55" s="18">
        <v>1574.0</v>
      </c>
      <c r="K55" s="20">
        <f>SUM(E53:E56)</f>
        <v>532</v>
      </c>
      <c r="L55" s="20">
        <f>SUM(E41:E44)</f>
        <v>577</v>
      </c>
      <c r="M55" s="21">
        <f t="shared" si="1"/>
        <v>0.07798960139</v>
      </c>
      <c r="N55" s="22">
        <f>SUM(F53:F56)</f>
        <v>18168</v>
      </c>
      <c r="O55" s="22">
        <f>SUM(F41:F44)</f>
        <v>14411</v>
      </c>
      <c r="P55" s="21">
        <f>1-N55/O55</f>
        <v>-0.2607036292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5">
        <v>53.0</v>
      </c>
      <c r="B56" s="16" t="s">
        <v>55</v>
      </c>
      <c r="C56" s="16" t="s">
        <v>72</v>
      </c>
      <c r="D56" s="17" t="s">
        <v>73</v>
      </c>
      <c r="E56" s="18">
        <v>134.0</v>
      </c>
      <c r="F56" s="18">
        <v>4149.0</v>
      </c>
      <c r="G56" s="18">
        <v>5.0</v>
      </c>
      <c r="H56" s="18">
        <v>1754.0</v>
      </c>
      <c r="I56" s="19">
        <v>5.5</v>
      </c>
      <c r="J56" s="18">
        <v>1574.0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5">
        <v>54.0</v>
      </c>
      <c r="B57" s="16" t="s">
        <v>55</v>
      </c>
      <c r="C57" s="16" t="s">
        <v>74</v>
      </c>
      <c r="D57" s="17" t="s">
        <v>75</v>
      </c>
      <c r="E57" s="18">
        <v>111.0</v>
      </c>
      <c r="F57" s="18">
        <v>3745.0</v>
      </c>
      <c r="G57" s="18">
        <v>9.0</v>
      </c>
      <c r="H57" s="18">
        <v>2336.0</v>
      </c>
      <c r="I57" s="19">
        <v>7.0</v>
      </c>
      <c r="J57" s="18">
        <v>1610.0</v>
      </c>
      <c r="K57" s="20">
        <f>SUM(E38:E49)</f>
        <v>1429</v>
      </c>
      <c r="L57" s="20">
        <f>SUM(E26:E37)</f>
        <v>2092</v>
      </c>
      <c r="M57" s="5">
        <f>K57/L57</f>
        <v>0.6830783939</v>
      </c>
      <c r="N57" s="5"/>
      <c r="O57" s="5">
        <v>80000.0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5">
        <v>55.0</v>
      </c>
      <c r="B58" s="16" t="s">
        <v>55</v>
      </c>
      <c r="C58" s="16" t="s">
        <v>76</v>
      </c>
      <c r="D58" s="17" t="s">
        <v>77</v>
      </c>
      <c r="E58" s="18">
        <v>80.0</v>
      </c>
      <c r="F58" s="18">
        <v>2292.0</v>
      </c>
      <c r="G58" s="18">
        <v>13.0</v>
      </c>
      <c r="H58" s="18">
        <v>2939.0</v>
      </c>
      <c r="I58" s="19">
        <v>7.0</v>
      </c>
      <c r="J58" s="18">
        <v>1610.0</v>
      </c>
      <c r="K58" s="5"/>
      <c r="L58" s="22">
        <f>SUM(F38:F49)</f>
        <v>35057</v>
      </c>
      <c r="M58" s="22">
        <f>SUM(F26:F37)</f>
        <v>53235</v>
      </c>
      <c r="N58" s="22">
        <f>M58-L58</f>
        <v>18178</v>
      </c>
      <c r="O58" s="5">
        <f>O57/N58</f>
        <v>4.400924194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5">
        <v>56.0</v>
      </c>
      <c r="B59" s="16" t="s">
        <v>55</v>
      </c>
      <c r="C59" s="16" t="s">
        <v>78</v>
      </c>
      <c r="D59" s="17" t="s">
        <v>79</v>
      </c>
      <c r="E59" s="18">
        <v>80.0</v>
      </c>
      <c r="F59" s="18">
        <v>2327.0</v>
      </c>
      <c r="G59" s="18">
        <v>18.0</v>
      </c>
      <c r="H59" s="18">
        <v>3708.0</v>
      </c>
      <c r="I59" s="19">
        <v>6.0</v>
      </c>
      <c r="J59" s="18">
        <v>1586.0</v>
      </c>
      <c r="K59" s="5"/>
      <c r="L59" s="5"/>
      <c r="M59" s="5">
        <f>1-L60/L57</f>
        <v>0.3432122371</v>
      </c>
      <c r="N59" s="5"/>
      <c r="O59" s="22">
        <f>O57-N58</f>
        <v>61822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5">
        <v>57.0</v>
      </c>
      <c r="B60" s="17" t="s">
        <v>80</v>
      </c>
      <c r="C60" s="17" t="s">
        <v>56</v>
      </c>
      <c r="D60" s="17" t="s">
        <v>81</v>
      </c>
      <c r="E60" s="18">
        <v>174.0</v>
      </c>
      <c r="F60" s="18">
        <v>4841.0</v>
      </c>
      <c r="G60" s="18">
        <v>15.0</v>
      </c>
      <c r="H60" s="18">
        <v>3323.0</v>
      </c>
      <c r="I60" s="19">
        <v>6.0</v>
      </c>
      <c r="J60" s="18">
        <v>1586.0</v>
      </c>
      <c r="K60" s="5"/>
      <c r="L60" s="20">
        <f t="shared" ref="L60:M60" si="3">SUM(E53:E64)</f>
        <v>1374</v>
      </c>
      <c r="M60" s="22">
        <f t="shared" si="3"/>
        <v>43628</v>
      </c>
      <c r="N60" s="22">
        <f>M58-M60</f>
        <v>9607</v>
      </c>
      <c r="O60" s="5">
        <f>O59/N60</f>
        <v>6.435099407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5">
        <v>58.0</v>
      </c>
      <c r="B61" s="17" t="s">
        <v>80</v>
      </c>
      <c r="C61" s="17" t="s">
        <v>58</v>
      </c>
      <c r="D61" s="17" t="s">
        <v>82</v>
      </c>
      <c r="E61" s="18">
        <v>141.0</v>
      </c>
      <c r="F61" s="18">
        <v>4061.0</v>
      </c>
      <c r="G61" s="18">
        <v>27.0</v>
      </c>
      <c r="H61" s="18">
        <v>5262.0</v>
      </c>
      <c r="I61" s="19">
        <v>9.5</v>
      </c>
      <c r="J61" s="18">
        <v>1852.0</v>
      </c>
      <c r="K61" s="5"/>
      <c r="L61" s="5"/>
      <c r="M61" s="5"/>
      <c r="N61" s="5">
        <f>1-M60/M58</f>
        <v>0.1804639805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5">
        <v>59.0</v>
      </c>
      <c r="B62" s="17" t="s">
        <v>80</v>
      </c>
      <c r="C62" s="17" t="s">
        <v>60</v>
      </c>
      <c r="D62" s="17" t="s">
        <v>83</v>
      </c>
      <c r="E62" s="18">
        <v>95.0</v>
      </c>
      <c r="F62" s="18">
        <v>2934.0</v>
      </c>
      <c r="G62" s="18">
        <v>27.0</v>
      </c>
      <c r="H62" s="18">
        <v>5462.0</v>
      </c>
      <c r="I62" s="19">
        <v>9.5</v>
      </c>
      <c r="J62" s="18">
        <v>1852.0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5">
        <v>60.0</v>
      </c>
      <c r="B63" s="17" t="s">
        <v>80</v>
      </c>
      <c r="C63" s="17" t="s">
        <v>62</v>
      </c>
      <c r="D63" s="17" t="s">
        <v>84</v>
      </c>
      <c r="E63" s="18">
        <v>84.0</v>
      </c>
      <c r="F63" s="18">
        <v>2697.0</v>
      </c>
      <c r="G63" s="18">
        <v>23.0</v>
      </c>
      <c r="H63" s="18">
        <v>4918.0</v>
      </c>
      <c r="I63" s="19">
        <v>6.0</v>
      </c>
      <c r="J63" s="18">
        <v>1586.0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5">
        <v>61.0</v>
      </c>
      <c r="B64" s="17" t="s">
        <v>80</v>
      </c>
      <c r="C64" s="17" t="s">
        <v>64</v>
      </c>
      <c r="D64" s="17" t="s">
        <v>85</v>
      </c>
      <c r="E64" s="18">
        <v>77.0</v>
      </c>
      <c r="F64" s="18">
        <v>2563.0</v>
      </c>
      <c r="G64" s="18">
        <v>10.0</v>
      </c>
      <c r="H64" s="18">
        <v>2790.0</v>
      </c>
      <c r="I64" s="19">
        <v>6.0</v>
      </c>
      <c r="J64" s="18">
        <v>1586.0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5">
        <v>62.0</v>
      </c>
      <c r="B65" s="17" t="s">
        <v>80</v>
      </c>
      <c r="C65" s="17" t="s">
        <v>66</v>
      </c>
      <c r="D65" s="17" t="s">
        <v>86</v>
      </c>
      <c r="E65" s="18">
        <v>89.0</v>
      </c>
      <c r="F65" s="18">
        <v>2894.0</v>
      </c>
      <c r="G65" s="18">
        <v>9.0</v>
      </c>
      <c r="H65" s="18">
        <v>2625.0</v>
      </c>
      <c r="I65" s="19">
        <v>4.0</v>
      </c>
      <c r="J65" s="18">
        <v>1562.0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5">
        <v>63.0</v>
      </c>
      <c r="B66" s="17" t="s">
        <v>80</v>
      </c>
      <c r="C66" s="17" t="s">
        <v>68</v>
      </c>
      <c r="D66" s="17" t="s">
        <v>87</v>
      </c>
      <c r="E66" s="18">
        <v>147.0</v>
      </c>
      <c r="F66" s="18">
        <v>4758.0</v>
      </c>
      <c r="G66" s="18">
        <v>5.0</v>
      </c>
      <c r="H66" s="18">
        <v>1945.0</v>
      </c>
      <c r="I66" s="19">
        <v>4.0</v>
      </c>
      <c r="J66" s="18">
        <v>1562.0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5">
        <v>64.0</v>
      </c>
      <c r="B67" s="17" t="s">
        <v>80</v>
      </c>
      <c r="C67" s="17" t="s">
        <v>70</v>
      </c>
      <c r="D67" s="17" t="s">
        <v>88</v>
      </c>
      <c r="E67" s="18">
        <v>185.0</v>
      </c>
      <c r="F67" s="18">
        <v>6219.0</v>
      </c>
      <c r="G67" s="18">
        <v>5.0</v>
      </c>
      <c r="H67" s="18">
        <v>1945.0</v>
      </c>
      <c r="I67" s="19">
        <v>4.5</v>
      </c>
      <c r="J67" s="18">
        <v>1562.0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5">
        <v>65.0</v>
      </c>
      <c r="B68" s="17" t="s">
        <v>80</v>
      </c>
      <c r="C68" s="17" t="s">
        <v>72</v>
      </c>
      <c r="D68" s="17" t="s">
        <v>89</v>
      </c>
      <c r="E68" s="18">
        <v>141.0</v>
      </c>
      <c r="F68" s="18">
        <v>4693.0</v>
      </c>
      <c r="G68" s="18">
        <v>4.0</v>
      </c>
      <c r="H68" s="18">
        <v>1769.0</v>
      </c>
      <c r="I68" s="19">
        <v>4.5</v>
      </c>
      <c r="J68" s="18">
        <v>1562.0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5">
        <v>66.0</v>
      </c>
      <c r="B69" s="17" t="s">
        <v>80</v>
      </c>
      <c r="C69" s="17" t="s">
        <v>74</v>
      </c>
      <c r="D69" s="17" t="s">
        <v>90</v>
      </c>
      <c r="E69" s="18">
        <v>102.0</v>
      </c>
      <c r="F69" s="18">
        <v>3453.0</v>
      </c>
      <c r="G69" s="18">
        <v>11.0</v>
      </c>
      <c r="H69" s="18">
        <v>3106.0</v>
      </c>
      <c r="I69" s="23">
        <v>7.5</v>
      </c>
      <c r="J69" s="24">
        <v>1622.0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5">
        <v>67.0</v>
      </c>
      <c r="B70" s="17" t="s">
        <v>80</v>
      </c>
      <c r="C70" s="17" t="s">
        <v>76</v>
      </c>
      <c r="D70" s="17" t="s">
        <v>91</v>
      </c>
      <c r="E70" s="18">
        <v>82.0</v>
      </c>
      <c r="F70" s="18">
        <v>2888.0</v>
      </c>
      <c r="G70" s="18">
        <v>15.0</v>
      </c>
      <c r="H70" s="18">
        <v>3991.0</v>
      </c>
      <c r="I70" s="23">
        <v>7.5</v>
      </c>
      <c r="J70" s="24">
        <v>1623.0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5">
        <v>68.0</v>
      </c>
      <c r="B71" s="17" t="s">
        <v>80</v>
      </c>
      <c r="C71" s="17" t="s">
        <v>78</v>
      </c>
      <c r="D71" s="17" t="s">
        <v>92</v>
      </c>
      <c r="E71" s="24">
        <v>80.0</v>
      </c>
      <c r="F71" s="24">
        <v>832.0</v>
      </c>
      <c r="G71" s="24">
        <v>17.0</v>
      </c>
      <c r="H71" s="24">
        <v>4545.0</v>
      </c>
      <c r="I71" s="23">
        <v>7.5</v>
      </c>
      <c r="J71" s="24">
        <v>1623.0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5">
        <v>68.0</v>
      </c>
      <c r="B72" s="17" t="s">
        <v>93</v>
      </c>
      <c r="C72" s="25" t="s">
        <v>56</v>
      </c>
      <c r="D72" s="25" t="s">
        <v>94</v>
      </c>
      <c r="E72" s="24">
        <v>91.0</v>
      </c>
      <c r="F72" s="24">
        <v>3142.0</v>
      </c>
      <c r="G72" s="24">
        <v>26.0</v>
      </c>
      <c r="H72" s="24">
        <v>6545.0</v>
      </c>
      <c r="I72" s="23">
        <v>7.5</v>
      </c>
      <c r="J72" s="26">
        <v>1622.0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v>69.0</v>
      </c>
      <c r="B73" s="17" t="s">
        <v>93</v>
      </c>
      <c r="C73" s="25" t="s">
        <v>58</v>
      </c>
      <c r="D73" s="25" t="s">
        <v>95</v>
      </c>
      <c r="E73" s="24">
        <v>109.0</v>
      </c>
      <c r="F73" s="24">
        <v>2889.0</v>
      </c>
      <c r="G73" s="24">
        <v>18.0</v>
      </c>
      <c r="H73" s="24">
        <v>4554.0</v>
      </c>
      <c r="I73" s="28">
        <v>6.5</v>
      </c>
      <c r="J73" s="29">
        <v>1598.0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7">
        <v>70.0</v>
      </c>
      <c r="B74" s="17" t="s">
        <v>93</v>
      </c>
      <c r="C74" s="25" t="s">
        <v>60</v>
      </c>
      <c r="D74" s="25" t="s">
        <v>96</v>
      </c>
      <c r="E74" s="24">
        <v>77.0</v>
      </c>
      <c r="F74" s="24">
        <v>1088.0</v>
      </c>
      <c r="G74" s="24">
        <v>21.0</v>
      </c>
      <c r="H74" s="24">
        <v>5008.0</v>
      </c>
      <c r="I74" s="28">
        <v>6.5</v>
      </c>
      <c r="J74" s="29">
        <v>1598.0</v>
      </c>
      <c r="K74" s="30">
        <v>3196.0</v>
      </c>
      <c r="L74" s="5">
        <f>K74/2</f>
        <v>1598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v>71.0</v>
      </c>
      <c r="B75" s="17" t="s">
        <v>93</v>
      </c>
      <c r="C75" s="25" t="s">
        <v>62</v>
      </c>
      <c r="D75" s="25" t="s">
        <v>97</v>
      </c>
      <c r="E75" s="24">
        <v>75.0</v>
      </c>
      <c r="F75" s="24">
        <v>1826.0</v>
      </c>
      <c r="G75" s="24">
        <v>15.0</v>
      </c>
      <c r="H75" s="24">
        <v>3773.0</v>
      </c>
      <c r="I75" s="23">
        <v>4.0</v>
      </c>
      <c r="J75" s="31">
        <v>1138.0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7">
        <v>72.0</v>
      </c>
      <c r="B76" s="17" t="s">
        <v>93</v>
      </c>
      <c r="C76" s="25" t="s">
        <v>64</v>
      </c>
      <c r="D76" s="25" t="s">
        <v>98</v>
      </c>
      <c r="E76" s="24"/>
      <c r="F76" s="24"/>
      <c r="G76" s="18"/>
      <c r="H76" s="18"/>
      <c r="I76" s="23">
        <v>4.0</v>
      </c>
      <c r="J76" s="24">
        <v>1137.0</v>
      </c>
      <c r="K76" s="20">
        <f>sum(J75:J76)</f>
        <v>2275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7">
        <v>73.0</v>
      </c>
      <c r="B77" s="17" t="s">
        <v>93</v>
      </c>
      <c r="C77" s="25" t="s">
        <v>66</v>
      </c>
      <c r="D77" s="25" t="s">
        <v>99</v>
      </c>
      <c r="E77" s="24">
        <v>86.0</v>
      </c>
      <c r="F77" s="24">
        <v>3057.0</v>
      </c>
      <c r="G77" s="24">
        <v>8.0</v>
      </c>
      <c r="H77" s="24">
        <v>2446.0</v>
      </c>
      <c r="I77" s="23">
        <v>7.0</v>
      </c>
      <c r="J77" s="24">
        <v>1905.0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7">
        <v>74.0</v>
      </c>
      <c r="B78" s="17" t="s">
        <v>93</v>
      </c>
      <c r="C78" s="25" t="s">
        <v>68</v>
      </c>
      <c r="D78" s="25" t="s">
        <v>100</v>
      </c>
      <c r="E78" s="24">
        <v>164.0</v>
      </c>
      <c r="F78" s="24">
        <v>5213.0</v>
      </c>
      <c r="G78" s="24">
        <v>5.0</v>
      </c>
      <c r="H78" s="24">
        <v>1896.0</v>
      </c>
      <c r="I78" s="23">
        <v>5.5</v>
      </c>
      <c r="J78" s="24">
        <v>1409.0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7">
        <v>75.0</v>
      </c>
      <c r="B79" s="17" t="s">
        <v>93</v>
      </c>
      <c r="C79" s="25" t="s">
        <v>70</v>
      </c>
      <c r="D79" s="25" t="s">
        <v>101</v>
      </c>
      <c r="E79" s="24">
        <v>222.0</v>
      </c>
      <c r="F79" s="24">
        <v>6477.0</v>
      </c>
      <c r="G79" s="24">
        <v>4.0</v>
      </c>
      <c r="H79" s="24">
        <v>1701.0</v>
      </c>
      <c r="I79" s="23">
        <v>5.5</v>
      </c>
      <c r="J79" s="24">
        <v>1409.0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7">
        <v>76.0</v>
      </c>
      <c r="B80" s="17" t="s">
        <v>93</v>
      </c>
      <c r="C80" s="25" t="s">
        <v>72</v>
      </c>
      <c r="D80" s="25" t="s">
        <v>102</v>
      </c>
      <c r="E80" s="24">
        <v>179.0</v>
      </c>
      <c r="F80" s="24">
        <v>5110.0</v>
      </c>
      <c r="G80" s="24">
        <v>5.0</v>
      </c>
      <c r="H80" s="24">
        <v>1822.0</v>
      </c>
      <c r="I80" s="23">
        <v>5.5</v>
      </c>
      <c r="J80" s="24">
        <v>1409.0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7">
        <v>77.0</v>
      </c>
      <c r="B81" s="17" t="s">
        <v>93</v>
      </c>
      <c r="C81" s="25" t="s">
        <v>74</v>
      </c>
      <c r="D81" s="25" t="s">
        <v>103</v>
      </c>
      <c r="E81" s="24">
        <v>100.0</v>
      </c>
      <c r="F81" s="24">
        <v>3388.0</v>
      </c>
      <c r="G81" s="24">
        <v>7.0</v>
      </c>
      <c r="H81" s="24">
        <v>2206.0</v>
      </c>
      <c r="I81" s="23">
        <v>5.5</v>
      </c>
      <c r="J81" s="24">
        <v>1409.0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7">
        <v>78.0</v>
      </c>
      <c r="B82" s="25" t="s">
        <v>93</v>
      </c>
      <c r="C82" s="25" t="s">
        <v>76</v>
      </c>
      <c r="D82" s="25" t="s">
        <v>104</v>
      </c>
      <c r="E82" s="24">
        <v>114.0</v>
      </c>
      <c r="F82" s="24">
        <v>3857.0</v>
      </c>
      <c r="G82" s="24">
        <v>11.0</v>
      </c>
      <c r="H82" s="24">
        <v>2832.0</v>
      </c>
      <c r="I82" s="23">
        <v>6.0</v>
      </c>
      <c r="J82" s="24">
        <v>1421.0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2">
        <v>79.0</v>
      </c>
      <c r="B83" s="33" t="s">
        <v>93</v>
      </c>
      <c r="C83" s="33" t="s">
        <v>78</v>
      </c>
      <c r="D83" s="33" t="s">
        <v>105</v>
      </c>
      <c r="E83" s="26">
        <v>146.0</v>
      </c>
      <c r="F83" s="26">
        <v>5128.0</v>
      </c>
      <c r="G83" s="26">
        <v>12.0</v>
      </c>
      <c r="H83" s="26">
        <v>2992.0</v>
      </c>
      <c r="I83" s="34">
        <v>6.0</v>
      </c>
      <c r="J83" s="26">
        <v>1421.0</v>
      </c>
      <c r="K83" s="30">
        <v>2842.0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35">
        <v>80.0</v>
      </c>
      <c r="B84" s="35">
        <v>2024.0</v>
      </c>
      <c r="C84" s="36" t="s">
        <v>56</v>
      </c>
      <c r="D84" s="36" t="s">
        <v>106</v>
      </c>
      <c r="E84" s="37">
        <v>167.0</v>
      </c>
      <c r="F84" s="37">
        <v>5253.0</v>
      </c>
      <c r="G84" s="37">
        <v>20.0</v>
      </c>
      <c r="H84" s="37">
        <v>4276.0</v>
      </c>
      <c r="I84" s="38">
        <v>7.0</v>
      </c>
      <c r="J84" s="37">
        <v>1445.0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35">
        <v>81.0</v>
      </c>
      <c r="B85" s="35">
        <v>2024.0</v>
      </c>
      <c r="C85" s="36" t="s">
        <v>58</v>
      </c>
      <c r="D85" s="36" t="s">
        <v>107</v>
      </c>
      <c r="E85" s="37">
        <v>157.0</v>
      </c>
      <c r="F85" s="37">
        <v>4725.0</v>
      </c>
      <c r="G85" s="37">
        <v>18.0</v>
      </c>
      <c r="H85" s="37">
        <v>3989.0</v>
      </c>
      <c r="I85" s="38">
        <v>7.0</v>
      </c>
      <c r="J85" s="37">
        <v>1445.0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35">
        <v>82.0</v>
      </c>
      <c r="B86" s="35">
        <v>2024.0</v>
      </c>
      <c r="C86" s="36" t="s">
        <v>60</v>
      </c>
      <c r="D86" s="36" t="s">
        <v>108</v>
      </c>
      <c r="E86" s="37">
        <v>156.0</v>
      </c>
      <c r="F86" s="37">
        <v>4624.0</v>
      </c>
      <c r="G86" s="37">
        <v>16.0</v>
      </c>
      <c r="H86" s="37">
        <v>3735.0</v>
      </c>
      <c r="I86" s="38">
        <v>5.5</v>
      </c>
      <c r="J86" s="37">
        <v>1409.0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35">
        <v>83.0</v>
      </c>
      <c r="B87" s="35">
        <v>2024.0</v>
      </c>
      <c r="C87" s="36" t="s">
        <v>62</v>
      </c>
      <c r="D87" s="36" t="s">
        <v>109</v>
      </c>
      <c r="E87" s="37">
        <v>129.0</v>
      </c>
      <c r="F87" s="37">
        <v>4529.0</v>
      </c>
      <c r="G87" s="37">
        <v>10.0</v>
      </c>
      <c r="H87" s="37">
        <v>2774.0</v>
      </c>
      <c r="I87" s="38">
        <v>5.5</v>
      </c>
      <c r="J87" s="37">
        <v>1409.0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35">
        <v>84.0</v>
      </c>
      <c r="B88" s="35">
        <v>2024.0</v>
      </c>
      <c r="C88" s="36" t="s">
        <v>64</v>
      </c>
      <c r="D88" s="36" t="s">
        <v>110</v>
      </c>
      <c r="E88" s="37">
        <v>101.0</v>
      </c>
      <c r="F88" s="37">
        <v>3082.0</v>
      </c>
      <c r="G88" s="37">
        <v>7.0</v>
      </c>
      <c r="H88" s="37">
        <v>2282.0</v>
      </c>
      <c r="I88" s="38">
        <v>4.5</v>
      </c>
      <c r="J88" s="37">
        <v>1397.0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39">
        <v>85.0</v>
      </c>
      <c r="B89" s="39">
        <v>2024.0</v>
      </c>
      <c r="C89" s="40" t="s">
        <v>66</v>
      </c>
      <c r="D89" s="40" t="s">
        <v>111</v>
      </c>
      <c r="E89" s="41">
        <v>105.0</v>
      </c>
      <c r="F89" s="41">
        <v>3404.0</v>
      </c>
      <c r="G89" s="41">
        <v>6.0</v>
      </c>
      <c r="H89" s="41">
        <v>2151.0</v>
      </c>
      <c r="I89" s="42">
        <v>4.5</v>
      </c>
      <c r="J89" s="41">
        <v>1397.0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39">
        <v>86.0</v>
      </c>
      <c r="B90" s="39">
        <v>2024.0</v>
      </c>
      <c r="C90" s="40" t="s">
        <v>68</v>
      </c>
      <c r="D90" s="40" t="s">
        <v>112</v>
      </c>
      <c r="E90" s="41">
        <v>159.0</v>
      </c>
      <c r="F90" s="41">
        <v>5371.0</v>
      </c>
      <c r="G90" s="41">
        <v>4.0</v>
      </c>
      <c r="H90" s="41">
        <v>1817.0</v>
      </c>
      <c r="I90" s="42">
        <v>5.0</v>
      </c>
      <c r="J90" s="41">
        <v>1397.0</v>
      </c>
      <c r="K90" s="30">
        <v>2794.0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39">
        <v>87.0</v>
      </c>
      <c r="B91" s="39">
        <v>2024.0</v>
      </c>
      <c r="C91" s="40" t="s">
        <v>70</v>
      </c>
      <c r="D91" s="40" t="s">
        <v>113</v>
      </c>
      <c r="E91" s="41">
        <v>215.0</v>
      </c>
      <c r="F91" s="41">
        <v>7674.0</v>
      </c>
      <c r="G91" s="41">
        <v>4.0</v>
      </c>
      <c r="H91" s="41">
        <v>1809.0</v>
      </c>
      <c r="I91" s="42">
        <v>5.0</v>
      </c>
      <c r="J91" s="41">
        <v>1397.0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39">
        <v>88.0</v>
      </c>
      <c r="B92" s="39">
        <v>2024.0</v>
      </c>
      <c r="C92" s="40" t="s">
        <v>72</v>
      </c>
      <c r="D92" s="40" t="s">
        <v>114</v>
      </c>
      <c r="E92" s="41">
        <v>158.0</v>
      </c>
      <c r="F92" s="41">
        <v>4890.0</v>
      </c>
      <c r="G92" s="41">
        <v>4.0</v>
      </c>
      <c r="H92" s="41">
        <v>1735.0</v>
      </c>
      <c r="I92" s="42">
        <v>5.0</v>
      </c>
      <c r="J92" s="41">
        <v>1397.0</v>
      </c>
      <c r="K92" s="30">
        <v>2794.0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39">
        <v>89.0</v>
      </c>
      <c r="B93" s="39">
        <v>2024.0</v>
      </c>
      <c r="C93" s="40" t="s">
        <v>74</v>
      </c>
      <c r="D93" s="40" t="s">
        <v>115</v>
      </c>
      <c r="E93" s="41">
        <v>91.0</v>
      </c>
      <c r="F93" s="41">
        <v>2961.0</v>
      </c>
      <c r="G93" s="41">
        <v>7.0</v>
      </c>
      <c r="H93" s="41">
        <v>2227.0</v>
      </c>
      <c r="I93" s="42">
        <v>5.0</v>
      </c>
      <c r="J93" s="41">
        <v>1397.0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39">
        <v>90.0</v>
      </c>
      <c r="B94" s="39">
        <v>2024.0</v>
      </c>
      <c r="C94" s="40" t="s">
        <v>76</v>
      </c>
      <c r="D94" s="40" t="s">
        <v>116</v>
      </c>
      <c r="E94" s="41">
        <v>140.0</v>
      </c>
      <c r="F94" s="41">
        <v>4583.0</v>
      </c>
      <c r="G94" s="41">
        <v>10.0</v>
      </c>
      <c r="H94" s="41">
        <v>2790.0</v>
      </c>
      <c r="I94" s="42">
        <v>6.0</v>
      </c>
      <c r="J94" s="41">
        <v>1421.0</v>
      </c>
      <c r="K94" s="30">
        <v>2842.0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39">
        <v>91.0</v>
      </c>
      <c r="B95" s="39">
        <v>2024.0</v>
      </c>
      <c r="C95" s="40" t="s">
        <v>78</v>
      </c>
      <c r="D95" s="40" t="s">
        <v>117</v>
      </c>
      <c r="E95" s="41">
        <v>165.0</v>
      </c>
      <c r="F95" s="41">
        <v>5719.0</v>
      </c>
      <c r="G95" s="41">
        <v>11.0</v>
      </c>
      <c r="H95" s="41">
        <v>2716.0</v>
      </c>
      <c r="I95" s="42">
        <v>6.0</v>
      </c>
      <c r="J95" s="41">
        <v>1421.0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43">
        <v>92.0</v>
      </c>
      <c r="B96" s="43">
        <v>2025.0</v>
      </c>
      <c r="C96" s="44" t="s">
        <v>56</v>
      </c>
      <c r="D96" s="44" t="s">
        <v>118</v>
      </c>
      <c r="E96" s="45">
        <v>160.0</v>
      </c>
      <c r="F96" s="45">
        <v>5509.0</v>
      </c>
      <c r="G96" s="45"/>
      <c r="H96" s="45"/>
      <c r="I96" s="46"/>
      <c r="J96" s="4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43">
        <v>93.0</v>
      </c>
      <c r="B97" s="43">
        <v>2025.0</v>
      </c>
      <c r="C97" s="44" t="s">
        <v>58</v>
      </c>
      <c r="D97" s="44" t="s">
        <v>119</v>
      </c>
      <c r="E97" s="45"/>
      <c r="F97" s="45"/>
      <c r="G97" s="45"/>
      <c r="H97" s="45"/>
      <c r="I97" s="46"/>
      <c r="J97" s="4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43">
        <v>94.0</v>
      </c>
      <c r="B98" s="43">
        <v>2025.0</v>
      </c>
      <c r="C98" s="44" t="s">
        <v>60</v>
      </c>
      <c r="D98" s="44" t="s">
        <v>120</v>
      </c>
      <c r="E98" s="45"/>
      <c r="F98" s="45"/>
      <c r="G98" s="45"/>
      <c r="H98" s="45"/>
      <c r="I98" s="46"/>
      <c r="J98" s="4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43">
        <v>95.0</v>
      </c>
      <c r="B99" s="43">
        <v>2025.0</v>
      </c>
      <c r="C99" s="44" t="s">
        <v>62</v>
      </c>
      <c r="D99" s="44" t="s">
        <v>121</v>
      </c>
      <c r="E99" s="45"/>
      <c r="F99" s="45"/>
      <c r="G99" s="45"/>
      <c r="H99" s="45"/>
      <c r="I99" s="46"/>
      <c r="J99" s="4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43">
        <v>96.0</v>
      </c>
      <c r="B100" s="43">
        <v>2025.0</v>
      </c>
      <c r="C100" s="44" t="s">
        <v>64</v>
      </c>
      <c r="D100" s="44" t="s">
        <v>122</v>
      </c>
      <c r="E100" s="45"/>
      <c r="F100" s="45"/>
      <c r="G100" s="45"/>
      <c r="H100" s="45"/>
      <c r="I100" s="46"/>
      <c r="J100" s="4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43">
        <v>97.0</v>
      </c>
      <c r="B101" s="43">
        <v>2025.0</v>
      </c>
      <c r="C101" s="44" t="s">
        <v>66</v>
      </c>
      <c r="D101" s="44" t="s">
        <v>123</v>
      </c>
      <c r="E101" s="45"/>
      <c r="F101" s="45"/>
      <c r="G101" s="45"/>
      <c r="H101" s="45"/>
      <c r="I101" s="46"/>
      <c r="J101" s="4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43">
        <v>98.0</v>
      </c>
      <c r="B102" s="43">
        <v>2025.0</v>
      </c>
      <c r="C102" s="44" t="s">
        <v>68</v>
      </c>
      <c r="D102" s="44" t="s">
        <v>124</v>
      </c>
      <c r="E102" s="45"/>
      <c r="F102" s="45"/>
      <c r="G102" s="45"/>
      <c r="H102" s="45"/>
      <c r="I102" s="46"/>
      <c r="J102" s="4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43">
        <v>99.0</v>
      </c>
      <c r="B103" s="43">
        <v>2025.0</v>
      </c>
      <c r="C103" s="44" t="s">
        <v>70</v>
      </c>
      <c r="D103" s="44" t="s">
        <v>125</v>
      </c>
      <c r="E103" s="45"/>
      <c r="F103" s="45"/>
      <c r="G103" s="45"/>
      <c r="H103" s="45"/>
      <c r="I103" s="46"/>
      <c r="J103" s="4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43">
        <v>100.0</v>
      </c>
      <c r="B104" s="43">
        <v>2025.0</v>
      </c>
      <c r="C104" s="44" t="s">
        <v>72</v>
      </c>
      <c r="D104" s="44" t="s">
        <v>126</v>
      </c>
      <c r="E104" s="45"/>
      <c r="F104" s="45"/>
      <c r="G104" s="45"/>
      <c r="H104" s="45"/>
      <c r="I104" s="46"/>
      <c r="J104" s="4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43">
        <v>101.0</v>
      </c>
      <c r="B105" s="43">
        <v>2025.0</v>
      </c>
      <c r="C105" s="44" t="s">
        <v>74</v>
      </c>
      <c r="D105" s="44" t="s">
        <v>127</v>
      </c>
      <c r="E105" s="45"/>
      <c r="F105" s="45"/>
      <c r="G105" s="45"/>
      <c r="H105" s="45"/>
      <c r="I105" s="46"/>
      <c r="J105" s="4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43">
        <v>102.0</v>
      </c>
      <c r="B106" s="43">
        <v>2025.0</v>
      </c>
      <c r="C106" s="44" t="s">
        <v>76</v>
      </c>
      <c r="D106" s="44" t="s">
        <v>128</v>
      </c>
      <c r="E106" s="45"/>
      <c r="F106" s="45"/>
      <c r="G106" s="45"/>
      <c r="H106" s="45"/>
      <c r="I106" s="46"/>
      <c r="J106" s="4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43">
        <v>103.0</v>
      </c>
      <c r="B107" s="43">
        <v>2025.0</v>
      </c>
      <c r="C107" s="44" t="s">
        <v>78</v>
      </c>
      <c r="D107" s="44" t="s">
        <v>129</v>
      </c>
      <c r="E107" s="45"/>
      <c r="F107" s="45"/>
      <c r="G107" s="45"/>
      <c r="H107" s="45"/>
      <c r="I107" s="46"/>
      <c r="J107" s="4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43">
        <v>104.0</v>
      </c>
      <c r="B108" s="43">
        <v>2026.0</v>
      </c>
      <c r="C108" s="44" t="s">
        <v>56</v>
      </c>
      <c r="D108" s="44" t="s">
        <v>130</v>
      </c>
      <c r="E108" s="45"/>
      <c r="F108" s="45"/>
      <c r="G108" s="45"/>
      <c r="H108" s="45"/>
      <c r="I108" s="46"/>
      <c r="J108" s="4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43">
        <v>105.0</v>
      </c>
      <c r="B109" s="43">
        <v>2026.0</v>
      </c>
      <c r="C109" s="44" t="s">
        <v>58</v>
      </c>
      <c r="D109" s="44" t="s">
        <v>131</v>
      </c>
      <c r="E109" s="45"/>
      <c r="F109" s="45"/>
      <c r="G109" s="45"/>
      <c r="H109" s="45"/>
      <c r="I109" s="46"/>
      <c r="J109" s="4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43">
        <v>106.0</v>
      </c>
      <c r="B110" s="43">
        <v>2026.0</v>
      </c>
      <c r="C110" s="44" t="s">
        <v>60</v>
      </c>
      <c r="D110" s="44" t="s">
        <v>132</v>
      </c>
      <c r="E110" s="45"/>
      <c r="F110" s="45"/>
      <c r="G110" s="45"/>
      <c r="H110" s="45"/>
      <c r="I110" s="46"/>
      <c r="J110" s="4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43">
        <v>107.0</v>
      </c>
      <c r="B111" s="43">
        <v>2026.0</v>
      </c>
      <c r="C111" s="44" t="s">
        <v>62</v>
      </c>
      <c r="D111" s="44" t="s">
        <v>133</v>
      </c>
      <c r="E111" s="45"/>
      <c r="F111" s="45"/>
      <c r="G111" s="45"/>
      <c r="H111" s="45"/>
      <c r="I111" s="46"/>
      <c r="J111" s="4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5"/>
      <c r="D112" s="44" t="s">
        <v>134</v>
      </c>
      <c r="E112" s="20"/>
      <c r="F112" s="20"/>
      <c r="G112" s="20"/>
      <c r="H112" s="20"/>
      <c r="I112" s="47"/>
      <c r="J112" s="2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5"/>
      <c r="C113" s="5"/>
      <c r="D113" s="5"/>
      <c r="E113" s="20"/>
      <c r="F113" s="20"/>
      <c r="G113" s="20"/>
      <c r="H113" s="20"/>
      <c r="I113" s="47"/>
      <c r="J113" s="2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5"/>
      <c r="C114" s="5"/>
      <c r="D114" s="5"/>
      <c r="E114" s="20"/>
      <c r="F114" s="20"/>
      <c r="G114" s="20"/>
      <c r="H114" s="20"/>
      <c r="I114" s="47"/>
      <c r="J114" s="2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5"/>
      <c r="C115" s="5"/>
      <c r="D115" s="5"/>
      <c r="E115" s="20"/>
      <c r="F115" s="20"/>
      <c r="G115" s="20"/>
      <c r="H115" s="20"/>
      <c r="I115" s="47"/>
      <c r="J115" s="2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5"/>
      <c r="C116" s="5"/>
      <c r="D116" s="5"/>
      <c r="E116" s="20"/>
      <c r="F116" s="20"/>
      <c r="G116" s="20"/>
      <c r="H116" s="20"/>
      <c r="I116" s="47"/>
      <c r="J116" s="2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5"/>
      <c r="C117" s="5"/>
      <c r="D117" s="5"/>
      <c r="E117" s="20"/>
      <c r="F117" s="20"/>
      <c r="G117" s="20"/>
      <c r="H117" s="20"/>
      <c r="I117" s="47"/>
      <c r="J117" s="2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5"/>
      <c r="C118" s="5"/>
      <c r="D118" s="5"/>
      <c r="E118" s="20"/>
      <c r="F118" s="20"/>
      <c r="G118" s="20"/>
      <c r="H118" s="20"/>
      <c r="I118" s="47"/>
      <c r="J118" s="2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5"/>
      <c r="C119" s="5"/>
      <c r="D119" s="5"/>
      <c r="E119" s="20"/>
      <c r="F119" s="20"/>
      <c r="G119" s="20"/>
      <c r="H119" s="20"/>
      <c r="I119" s="47"/>
      <c r="J119" s="2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5"/>
      <c r="C120" s="5"/>
      <c r="D120" s="5"/>
      <c r="E120" s="20"/>
      <c r="F120" s="20"/>
      <c r="G120" s="20"/>
      <c r="H120" s="20"/>
      <c r="I120" s="47"/>
      <c r="J120" s="2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5"/>
      <c r="C121" s="5"/>
      <c r="D121" s="5"/>
      <c r="E121" s="20"/>
      <c r="F121" s="20"/>
      <c r="G121" s="20"/>
      <c r="H121" s="20"/>
      <c r="I121" s="47"/>
      <c r="J121" s="2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5"/>
      <c r="C122" s="5"/>
      <c r="D122" s="5"/>
      <c r="E122" s="20"/>
      <c r="F122" s="20"/>
      <c r="G122" s="20"/>
      <c r="H122" s="20"/>
      <c r="I122" s="47"/>
      <c r="J122" s="2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5"/>
      <c r="C123" s="5"/>
      <c r="D123" s="5"/>
      <c r="E123" s="20"/>
      <c r="F123" s="20"/>
      <c r="G123" s="20"/>
      <c r="H123" s="20"/>
      <c r="I123" s="47"/>
      <c r="J123" s="2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5"/>
      <c r="C124" s="5"/>
      <c r="D124" s="5"/>
      <c r="E124" s="20"/>
      <c r="F124" s="20"/>
      <c r="G124" s="20"/>
      <c r="H124" s="20"/>
      <c r="I124" s="47"/>
      <c r="J124" s="2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5"/>
      <c r="C125" s="5"/>
      <c r="D125" s="5"/>
      <c r="E125" s="20"/>
      <c r="F125" s="20"/>
      <c r="G125" s="20"/>
      <c r="H125" s="20"/>
      <c r="I125" s="47"/>
      <c r="J125" s="2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5"/>
      <c r="C126" s="5"/>
      <c r="D126" s="5"/>
      <c r="E126" s="20"/>
      <c r="F126" s="20"/>
      <c r="G126" s="20"/>
      <c r="H126" s="20"/>
      <c r="I126" s="47"/>
      <c r="J126" s="2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5"/>
      <c r="C127" s="5"/>
      <c r="D127" s="5"/>
      <c r="E127" s="20"/>
      <c r="F127" s="20"/>
      <c r="G127" s="20"/>
      <c r="H127" s="20"/>
      <c r="I127" s="47"/>
      <c r="J127" s="2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5"/>
      <c r="C128" s="5"/>
      <c r="D128" s="5"/>
      <c r="E128" s="20"/>
      <c r="F128" s="20"/>
      <c r="G128" s="20"/>
      <c r="H128" s="20"/>
      <c r="I128" s="47"/>
      <c r="J128" s="2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5"/>
      <c r="C129" s="5"/>
      <c r="D129" s="5"/>
      <c r="E129" s="20"/>
      <c r="F129" s="20"/>
      <c r="G129" s="20"/>
      <c r="H129" s="20"/>
      <c r="I129" s="47"/>
      <c r="J129" s="2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5"/>
      <c r="C130" s="5"/>
      <c r="D130" s="5"/>
      <c r="E130" s="20"/>
      <c r="F130" s="20"/>
      <c r="G130" s="20"/>
      <c r="H130" s="20"/>
      <c r="I130" s="47"/>
      <c r="J130" s="2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5"/>
      <c r="C131" s="5"/>
      <c r="D131" s="5"/>
      <c r="E131" s="20"/>
      <c r="F131" s="20"/>
      <c r="G131" s="20"/>
      <c r="H131" s="20"/>
      <c r="I131" s="47"/>
      <c r="J131" s="2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5"/>
      <c r="C132" s="5"/>
      <c r="D132" s="5"/>
      <c r="E132" s="20"/>
      <c r="F132" s="20"/>
      <c r="G132" s="20"/>
      <c r="H132" s="20"/>
      <c r="I132" s="47"/>
      <c r="J132" s="2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5"/>
      <c r="C133" s="5"/>
      <c r="D133" s="5"/>
      <c r="E133" s="20"/>
      <c r="F133" s="20"/>
      <c r="G133" s="20"/>
      <c r="H133" s="20"/>
      <c r="I133" s="47"/>
      <c r="J133" s="2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5"/>
      <c r="C134" s="5"/>
      <c r="D134" s="5"/>
      <c r="E134" s="20"/>
      <c r="F134" s="20"/>
      <c r="G134" s="20"/>
      <c r="H134" s="20"/>
      <c r="I134" s="47"/>
      <c r="J134" s="2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5"/>
      <c r="C135" s="5"/>
      <c r="D135" s="5"/>
      <c r="E135" s="20"/>
      <c r="F135" s="20"/>
      <c r="G135" s="20"/>
      <c r="H135" s="20"/>
      <c r="I135" s="47"/>
      <c r="J135" s="2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5"/>
      <c r="C136" s="5"/>
      <c r="D136" s="5"/>
      <c r="E136" s="20"/>
      <c r="F136" s="20"/>
      <c r="G136" s="20"/>
      <c r="H136" s="20"/>
      <c r="I136" s="47"/>
      <c r="J136" s="2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5"/>
      <c r="C137" s="5"/>
      <c r="D137" s="5"/>
      <c r="E137" s="20"/>
      <c r="F137" s="20"/>
      <c r="G137" s="20"/>
      <c r="H137" s="20"/>
      <c r="I137" s="47"/>
      <c r="J137" s="2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5"/>
      <c r="C138" s="5"/>
      <c r="D138" s="5"/>
      <c r="E138" s="20"/>
      <c r="F138" s="20"/>
      <c r="G138" s="20"/>
      <c r="H138" s="20"/>
      <c r="I138" s="47"/>
      <c r="J138" s="2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5"/>
      <c r="C139" s="5"/>
      <c r="D139" s="5"/>
      <c r="E139" s="20"/>
      <c r="F139" s="20"/>
      <c r="G139" s="20"/>
      <c r="H139" s="20"/>
      <c r="I139" s="47"/>
      <c r="J139" s="2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5"/>
      <c r="C140" s="5"/>
      <c r="D140" s="5"/>
      <c r="E140" s="20"/>
      <c r="F140" s="20"/>
      <c r="G140" s="20"/>
      <c r="H140" s="20"/>
      <c r="I140" s="47"/>
      <c r="J140" s="2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5"/>
      <c r="C141" s="5"/>
      <c r="D141" s="5"/>
      <c r="E141" s="20"/>
      <c r="F141" s="20"/>
      <c r="G141" s="20"/>
      <c r="H141" s="20"/>
      <c r="I141" s="47"/>
      <c r="J141" s="2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5"/>
      <c r="C142" s="5"/>
      <c r="D142" s="5"/>
      <c r="E142" s="20"/>
      <c r="F142" s="20"/>
      <c r="G142" s="20"/>
      <c r="H142" s="20"/>
      <c r="I142" s="47"/>
      <c r="J142" s="2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5"/>
      <c r="C143" s="5"/>
      <c r="D143" s="5"/>
      <c r="E143" s="20"/>
      <c r="F143" s="20"/>
      <c r="G143" s="20"/>
      <c r="H143" s="20"/>
      <c r="I143" s="47"/>
      <c r="J143" s="2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5"/>
      <c r="C144" s="5"/>
      <c r="D144" s="5"/>
      <c r="E144" s="20"/>
      <c r="F144" s="20"/>
      <c r="G144" s="20"/>
      <c r="H144" s="20"/>
      <c r="I144" s="47"/>
      <c r="J144" s="2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5"/>
      <c r="C145" s="5"/>
      <c r="D145" s="5"/>
      <c r="E145" s="20"/>
      <c r="F145" s="20"/>
      <c r="G145" s="20"/>
      <c r="H145" s="20"/>
      <c r="I145" s="47"/>
      <c r="J145" s="2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5"/>
      <c r="C146" s="5"/>
      <c r="D146" s="5"/>
      <c r="E146" s="20"/>
      <c r="F146" s="20"/>
      <c r="G146" s="20"/>
      <c r="H146" s="20"/>
      <c r="I146" s="47"/>
      <c r="J146" s="2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5"/>
      <c r="C147" s="5"/>
      <c r="D147" s="5"/>
      <c r="E147" s="20"/>
      <c r="F147" s="20"/>
      <c r="G147" s="20"/>
      <c r="H147" s="20"/>
      <c r="I147" s="47"/>
      <c r="J147" s="2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5"/>
      <c r="C148" s="5"/>
      <c r="D148" s="5"/>
      <c r="E148" s="20"/>
      <c r="F148" s="20"/>
      <c r="G148" s="20"/>
      <c r="H148" s="20"/>
      <c r="I148" s="47"/>
      <c r="J148" s="2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5"/>
      <c r="C149" s="5"/>
      <c r="D149" s="5"/>
      <c r="E149" s="20"/>
      <c r="F149" s="20"/>
      <c r="G149" s="20"/>
      <c r="H149" s="20"/>
      <c r="I149" s="47"/>
      <c r="J149" s="2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5"/>
      <c r="C150" s="5"/>
      <c r="D150" s="5"/>
      <c r="E150" s="20"/>
      <c r="F150" s="20"/>
      <c r="G150" s="20"/>
      <c r="H150" s="20"/>
      <c r="I150" s="47"/>
      <c r="J150" s="2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5"/>
      <c r="C151" s="5"/>
      <c r="D151" s="5"/>
      <c r="E151" s="20"/>
      <c r="F151" s="20"/>
      <c r="G151" s="20"/>
      <c r="H151" s="20"/>
      <c r="I151" s="47"/>
      <c r="J151" s="2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5"/>
      <c r="C152" s="5"/>
      <c r="D152" s="5"/>
      <c r="E152" s="20"/>
      <c r="F152" s="20"/>
      <c r="G152" s="20"/>
      <c r="H152" s="20"/>
      <c r="I152" s="47"/>
      <c r="J152" s="2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5"/>
      <c r="C153" s="5"/>
      <c r="D153" s="5"/>
      <c r="E153" s="20"/>
      <c r="F153" s="20"/>
      <c r="G153" s="20"/>
      <c r="H153" s="20"/>
      <c r="I153" s="47"/>
      <c r="J153" s="2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5"/>
      <c r="C154" s="5"/>
      <c r="D154" s="5"/>
      <c r="E154" s="20"/>
      <c r="F154" s="20"/>
      <c r="G154" s="20"/>
      <c r="H154" s="20"/>
      <c r="I154" s="47"/>
      <c r="J154" s="2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5"/>
      <c r="C155" s="5"/>
      <c r="D155" s="5"/>
      <c r="E155" s="20"/>
      <c r="F155" s="20"/>
      <c r="G155" s="20"/>
      <c r="H155" s="20"/>
      <c r="I155" s="47"/>
      <c r="J155" s="2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5"/>
      <c r="C156" s="5"/>
      <c r="D156" s="5"/>
      <c r="E156" s="20"/>
      <c r="F156" s="20"/>
      <c r="G156" s="20"/>
      <c r="H156" s="20"/>
      <c r="I156" s="47"/>
      <c r="J156" s="2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5"/>
      <c r="C157" s="5"/>
      <c r="D157" s="5"/>
      <c r="E157" s="20"/>
      <c r="F157" s="20"/>
      <c r="G157" s="20"/>
      <c r="H157" s="20"/>
      <c r="I157" s="47"/>
      <c r="J157" s="2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5"/>
      <c r="C158" s="5"/>
      <c r="D158" s="5"/>
      <c r="E158" s="20"/>
      <c r="F158" s="20"/>
      <c r="G158" s="20"/>
      <c r="H158" s="20"/>
      <c r="I158" s="47"/>
      <c r="J158" s="2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5"/>
      <c r="C159" s="5"/>
      <c r="D159" s="5"/>
      <c r="E159" s="20"/>
      <c r="F159" s="20"/>
      <c r="G159" s="20"/>
      <c r="H159" s="20"/>
      <c r="I159" s="47"/>
      <c r="J159" s="2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5"/>
      <c r="C160" s="5"/>
      <c r="D160" s="5"/>
      <c r="E160" s="20"/>
      <c r="F160" s="20"/>
      <c r="G160" s="20"/>
      <c r="H160" s="20"/>
      <c r="I160" s="47"/>
      <c r="J160" s="2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5"/>
      <c r="C161" s="5"/>
      <c r="D161" s="5"/>
      <c r="E161" s="20"/>
      <c r="F161" s="20"/>
      <c r="G161" s="20"/>
      <c r="H161" s="20"/>
      <c r="I161" s="47"/>
      <c r="J161" s="2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5"/>
      <c r="C162" s="5"/>
      <c r="D162" s="5"/>
      <c r="E162" s="20"/>
      <c r="F162" s="20"/>
      <c r="G162" s="20"/>
      <c r="H162" s="20"/>
      <c r="I162" s="47"/>
      <c r="J162" s="2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5"/>
      <c r="C163" s="5"/>
      <c r="D163" s="5"/>
      <c r="E163" s="20"/>
      <c r="F163" s="20"/>
      <c r="G163" s="20"/>
      <c r="H163" s="20"/>
      <c r="I163" s="47"/>
      <c r="J163" s="2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5"/>
      <c r="C164" s="5"/>
      <c r="D164" s="5"/>
      <c r="E164" s="20"/>
      <c r="F164" s="20"/>
      <c r="G164" s="20"/>
      <c r="H164" s="20"/>
      <c r="I164" s="47"/>
      <c r="J164" s="2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5"/>
      <c r="C165" s="5"/>
      <c r="D165" s="5"/>
      <c r="E165" s="20"/>
      <c r="F165" s="20"/>
      <c r="G165" s="20"/>
      <c r="H165" s="20"/>
      <c r="I165" s="47"/>
      <c r="J165" s="2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5"/>
      <c r="C166" s="5"/>
      <c r="D166" s="5"/>
      <c r="E166" s="20"/>
      <c r="F166" s="20"/>
      <c r="G166" s="20"/>
      <c r="H166" s="20"/>
      <c r="I166" s="47"/>
      <c r="J166" s="2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5"/>
      <c r="C167" s="5"/>
      <c r="D167" s="5"/>
      <c r="E167" s="20"/>
      <c r="F167" s="20"/>
      <c r="G167" s="20"/>
      <c r="H167" s="20"/>
      <c r="I167" s="47"/>
      <c r="J167" s="2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5"/>
      <c r="C168" s="5"/>
      <c r="D168" s="5"/>
      <c r="E168" s="20"/>
      <c r="F168" s="20"/>
      <c r="G168" s="20"/>
      <c r="H168" s="20"/>
      <c r="I168" s="47"/>
      <c r="J168" s="2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5"/>
      <c r="C169" s="5"/>
      <c r="D169" s="5"/>
      <c r="E169" s="20"/>
      <c r="F169" s="20"/>
      <c r="G169" s="20"/>
      <c r="H169" s="20"/>
      <c r="I169" s="47"/>
      <c r="J169" s="2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5"/>
      <c r="C170" s="5"/>
      <c r="D170" s="5"/>
      <c r="E170" s="20"/>
      <c r="F170" s="20"/>
      <c r="G170" s="20"/>
      <c r="H170" s="20"/>
      <c r="I170" s="47"/>
      <c r="J170" s="2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5"/>
      <c r="C171" s="5"/>
      <c r="D171" s="5"/>
      <c r="E171" s="20"/>
      <c r="F171" s="20"/>
      <c r="G171" s="20"/>
      <c r="H171" s="20"/>
      <c r="I171" s="47"/>
      <c r="J171" s="2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5"/>
      <c r="C172" s="5"/>
      <c r="D172" s="5"/>
      <c r="E172" s="20"/>
      <c r="F172" s="20"/>
      <c r="G172" s="20"/>
      <c r="H172" s="20"/>
      <c r="I172" s="47"/>
      <c r="J172" s="2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5"/>
      <c r="C173" s="5"/>
      <c r="D173" s="5"/>
      <c r="E173" s="20"/>
      <c r="F173" s="20"/>
      <c r="G173" s="20"/>
      <c r="H173" s="20"/>
      <c r="I173" s="47"/>
      <c r="J173" s="2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5"/>
      <c r="C174" s="5"/>
      <c r="D174" s="5"/>
      <c r="E174" s="20"/>
      <c r="F174" s="20"/>
      <c r="G174" s="20"/>
      <c r="H174" s="20"/>
      <c r="I174" s="47"/>
      <c r="J174" s="2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5"/>
      <c r="C175" s="5"/>
      <c r="D175" s="5"/>
      <c r="E175" s="20"/>
      <c r="F175" s="20"/>
      <c r="G175" s="20"/>
      <c r="H175" s="20"/>
      <c r="I175" s="47"/>
      <c r="J175" s="2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5"/>
      <c r="C176" s="5"/>
      <c r="D176" s="5"/>
      <c r="E176" s="20"/>
      <c r="F176" s="20"/>
      <c r="G176" s="20"/>
      <c r="H176" s="20"/>
      <c r="I176" s="47"/>
      <c r="J176" s="2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5"/>
      <c r="C177" s="5"/>
      <c r="D177" s="5"/>
      <c r="E177" s="20"/>
      <c r="F177" s="20"/>
      <c r="G177" s="20"/>
      <c r="H177" s="20"/>
      <c r="I177" s="47"/>
      <c r="J177" s="2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5"/>
      <c r="C178" s="5"/>
      <c r="D178" s="5"/>
      <c r="E178" s="20"/>
      <c r="F178" s="20"/>
      <c r="G178" s="20"/>
      <c r="H178" s="20"/>
      <c r="I178" s="47"/>
      <c r="J178" s="2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5"/>
      <c r="C179" s="5"/>
      <c r="D179" s="5"/>
      <c r="E179" s="20"/>
      <c r="F179" s="20"/>
      <c r="G179" s="20"/>
      <c r="H179" s="20"/>
      <c r="I179" s="47"/>
      <c r="J179" s="2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5"/>
      <c r="C180" s="5"/>
      <c r="D180" s="5"/>
      <c r="E180" s="20"/>
      <c r="F180" s="20"/>
      <c r="G180" s="20"/>
      <c r="H180" s="20"/>
      <c r="I180" s="47"/>
      <c r="J180" s="2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5"/>
      <c r="C181" s="5"/>
      <c r="D181" s="5"/>
      <c r="E181" s="20"/>
      <c r="F181" s="20"/>
      <c r="G181" s="20"/>
      <c r="H181" s="20"/>
      <c r="I181" s="47"/>
      <c r="J181" s="2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5"/>
      <c r="C182" s="5"/>
      <c r="D182" s="5"/>
      <c r="E182" s="20"/>
      <c r="F182" s="20"/>
      <c r="G182" s="20"/>
      <c r="H182" s="20"/>
      <c r="I182" s="47"/>
      <c r="J182" s="2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5"/>
      <c r="C183" s="5"/>
      <c r="D183" s="5"/>
      <c r="E183" s="20"/>
      <c r="F183" s="20"/>
      <c r="G183" s="20"/>
      <c r="H183" s="20"/>
      <c r="I183" s="47"/>
      <c r="J183" s="2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5"/>
      <c r="C184" s="5"/>
      <c r="D184" s="5"/>
      <c r="E184" s="20"/>
      <c r="F184" s="20"/>
      <c r="G184" s="20"/>
      <c r="H184" s="20"/>
      <c r="I184" s="47"/>
      <c r="J184" s="2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5"/>
      <c r="C185" s="5"/>
      <c r="D185" s="5"/>
      <c r="E185" s="20"/>
      <c r="F185" s="20"/>
      <c r="G185" s="20"/>
      <c r="H185" s="20"/>
      <c r="I185" s="47"/>
      <c r="J185" s="2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5"/>
      <c r="C186" s="5"/>
      <c r="D186" s="5"/>
      <c r="E186" s="20"/>
      <c r="F186" s="20"/>
      <c r="G186" s="20"/>
      <c r="H186" s="20"/>
      <c r="I186" s="47"/>
      <c r="J186" s="2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5"/>
      <c r="C187" s="5"/>
      <c r="D187" s="5"/>
      <c r="E187" s="20"/>
      <c r="F187" s="20"/>
      <c r="G187" s="20"/>
      <c r="H187" s="20"/>
      <c r="I187" s="47"/>
      <c r="J187" s="2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5"/>
      <c r="C188" s="5"/>
      <c r="D188" s="5"/>
      <c r="E188" s="20"/>
      <c r="F188" s="20"/>
      <c r="G188" s="20"/>
      <c r="H188" s="20"/>
      <c r="I188" s="47"/>
      <c r="J188" s="2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5"/>
      <c r="C189" s="5"/>
      <c r="D189" s="5"/>
      <c r="E189" s="20"/>
      <c r="F189" s="20"/>
      <c r="G189" s="20"/>
      <c r="H189" s="20"/>
      <c r="I189" s="47"/>
      <c r="J189" s="2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5"/>
      <c r="C190" s="5"/>
      <c r="D190" s="5"/>
      <c r="E190" s="20"/>
      <c r="F190" s="20"/>
      <c r="G190" s="20"/>
      <c r="H190" s="20"/>
      <c r="I190" s="47"/>
      <c r="J190" s="2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5"/>
      <c r="C191" s="5"/>
      <c r="D191" s="5"/>
      <c r="E191" s="20"/>
      <c r="F191" s="20"/>
      <c r="G191" s="20"/>
      <c r="H191" s="20"/>
      <c r="I191" s="47"/>
      <c r="J191" s="2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5"/>
      <c r="C192" s="5"/>
      <c r="D192" s="5"/>
      <c r="E192" s="20"/>
      <c r="F192" s="20"/>
      <c r="G192" s="20"/>
      <c r="H192" s="20"/>
      <c r="I192" s="47"/>
      <c r="J192" s="2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5"/>
      <c r="C193" s="5"/>
      <c r="D193" s="5"/>
      <c r="E193" s="20"/>
      <c r="F193" s="20"/>
      <c r="G193" s="20"/>
      <c r="H193" s="20"/>
      <c r="I193" s="47"/>
      <c r="J193" s="2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5"/>
      <c r="C194" s="5"/>
      <c r="D194" s="5"/>
      <c r="E194" s="20"/>
      <c r="F194" s="20"/>
      <c r="G194" s="20"/>
      <c r="H194" s="20"/>
      <c r="I194" s="47"/>
      <c r="J194" s="2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5"/>
      <c r="C195" s="5"/>
      <c r="D195" s="5"/>
      <c r="E195" s="20"/>
      <c r="F195" s="20"/>
      <c r="G195" s="20"/>
      <c r="H195" s="20"/>
      <c r="I195" s="47"/>
      <c r="J195" s="2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5"/>
      <c r="C196" s="5"/>
      <c r="D196" s="5"/>
      <c r="E196" s="20"/>
      <c r="F196" s="20"/>
      <c r="G196" s="20"/>
      <c r="H196" s="20"/>
      <c r="I196" s="47"/>
      <c r="J196" s="2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5"/>
      <c r="C197" s="5"/>
      <c r="D197" s="5"/>
      <c r="E197" s="20"/>
      <c r="F197" s="20"/>
      <c r="G197" s="20"/>
      <c r="H197" s="20"/>
      <c r="I197" s="47"/>
      <c r="J197" s="2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5"/>
      <c r="C198" s="5"/>
      <c r="D198" s="5"/>
      <c r="E198" s="20"/>
      <c r="F198" s="20"/>
      <c r="G198" s="20"/>
      <c r="H198" s="20"/>
      <c r="I198" s="47"/>
      <c r="J198" s="2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5"/>
      <c r="C199" s="5"/>
      <c r="D199" s="5"/>
      <c r="E199" s="20"/>
      <c r="F199" s="20"/>
      <c r="G199" s="20"/>
      <c r="H199" s="20"/>
      <c r="I199" s="47"/>
      <c r="J199" s="2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5"/>
      <c r="C200" s="5"/>
      <c r="D200" s="5"/>
      <c r="E200" s="20"/>
      <c r="F200" s="20"/>
      <c r="G200" s="20"/>
      <c r="H200" s="20"/>
      <c r="I200" s="47"/>
      <c r="J200" s="2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5"/>
      <c r="C201" s="5"/>
      <c r="D201" s="5"/>
      <c r="E201" s="20"/>
      <c r="F201" s="20"/>
      <c r="G201" s="20"/>
      <c r="H201" s="20"/>
      <c r="I201" s="47"/>
      <c r="J201" s="2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5"/>
      <c r="C202" s="5"/>
      <c r="D202" s="5"/>
      <c r="E202" s="20"/>
      <c r="F202" s="20"/>
      <c r="G202" s="20"/>
      <c r="H202" s="20"/>
      <c r="I202" s="47"/>
      <c r="J202" s="2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5"/>
      <c r="C203" s="5"/>
      <c r="D203" s="5"/>
      <c r="E203" s="20"/>
      <c r="F203" s="20"/>
      <c r="G203" s="20"/>
      <c r="H203" s="20"/>
      <c r="I203" s="47"/>
      <c r="J203" s="2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5"/>
      <c r="C204" s="5"/>
      <c r="D204" s="5"/>
      <c r="E204" s="20"/>
      <c r="F204" s="20"/>
      <c r="G204" s="20"/>
      <c r="H204" s="20"/>
      <c r="I204" s="47"/>
      <c r="J204" s="2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5"/>
      <c r="C205" s="5"/>
      <c r="D205" s="5"/>
      <c r="E205" s="20"/>
      <c r="F205" s="20"/>
      <c r="G205" s="20"/>
      <c r="H205" s="20"/>
      <c r="I205" s="47"/>
      <c r="J205" s="2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5"/>
      <c r="C206" s="5"/>
      <c r="D206" s="5"/>
      <c r="E206" s="20"/>
      <c r="F206" s="20"/>
      <c r="G206" s="20"/>
      <c r="H206" s="20"/>
      <c r="I206" s="47"/>
      <c r="J206" s="2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5"/>
      <c r="C207" s="5"/>
      <c r="D207" s="5"/>
      <c r="E207" s="20"/>
      <c r="F207" s="20"/>
      <c r="G207" s="20"/>
      <c r="H207" s="20"/>
      <c r="I207" s="47"/>
      <c r="J207" s="2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5"/>
      <c r="C208" s="5"/>
      <c r="D208" s="5"/>
      <c r="E208" s="20"/>
      <c r="F208" s="20"/>
      <c r="G208" s="20"/>
      <c r="H208" s="20"/>
      <c r="I208" s="47"/>
      <c r="J208" s="2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5"/>
      <c r="C209" s="5"/>
      <c r="D209" s="5"/>
      <c r="E209" s="20"/>
      <c r="F209" s="20"/>
      <c r="G209" s="20"/>
      <c r="H209" s="20"/>
      <c r="I209" s="47"/>
      <c r="J209" s="2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5"/>
      <c r="C210" s="5"/>
      <c r="D210" s="5"/>
      <c r="E210" s="20"/>
      <c r="F210" s="20"/>
      <c r="G210" s="20"/>
      <c r="H210" s="20"/>
      <c r="I210" s="47"/>
      <c r="J210" s="2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5"/>
      <c r="C211" s="5"/>
      <c r="D211" s="5"/>
      <c r="E211" s="20"/>
      <c r="F211" s="20"/>
      <c r="G211" s="20"/>
      <c r="H211" s="20"/>
      <c r="I211" s="47"/>
      <c r="J211" s="2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5"/>
      <c r="C212" s="5"/>
      <c r="D212" s="5"/>
      <c r="E212" s="20"/>
      <c r="F212" s="20"/>
      <c r="G212" s="20"/>
      <c r="H212" s="20"/>
      <c r="I212" s="47"/>
      <c r="J212" s="2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5"/>
      <c r="C213" s="5"/>
      <c r="D213" s="5"/>
      <c r="E213" s="20"/>
      <c r="F213" s="20"/>
      <c r="G213" s="20"/>
      <c r="H213" s="20"/>
      <c r="I213" s="47"/>
      <c r="J213" s="2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5"/>
      <c r="C214" s="5"/>
      <c r="D214" s="5"/>
      <c r="E214" s="20"/>
      <c r="F214" s="20"/>
      <c r="G214" s="20"/>
      <c r="H214" s="20"/>
      <c r="I214" s="47"/>
      <c r="J214" s="2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5"/>
      <c r="C215" s="5"/>
      <c r="D215" s="5"/>
      <c r="E215" s="20"/>
      <c r="F215" s="20"/>
      <c r="G215" s="20"/>
      <c r="H215" s="20"/>
      <c r="I215" s="47"/>
      <c r="J215" s="2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5"/>
      <c r="C216" s="5"/>
      <c r="D216" s="5"/>
      <c r="E216" s="20"/>
      <c r="F216" s="20"/>
      <c r="G216" s="20"/>
      <c r="H216" s="20"/>
      <c r="I216" s="47"/>
      <c r="J216" s="2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5"/>
      <c r="C217" s="5"/>
      <c r="D217" s="5"/>
      <c r="E217" s="20"/>
      <c r="F217" s="20"/>
      <c r="G217" s="20"/>
      <c r="H217" s="20"/>
      <c r="I217" s="47"/>
      <c r="J217" s="2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5"/>
      <c r="C218" s="5"/>
      <c r="D218" s="5"/>
      <c r="E218" s="20"/>
      <c r="F218" s="20"/>
      <c r="G218" s="20"/>
      <c r="H218" s="20"/>
      <c r="I218" s="47"/>
      <c r="J218" s="2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5"/>
      <c r="C219" s="5"/>
      <c r="D219" s="5"/>
      <c r="E219" s="20"/>
      <c r="F219" s="20"/>
      <c r="G219" s="20"/>
      <c r="H219" s="20"/>
      <c r="I219" s="47"/>
      <c r="J219" s="2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5"/>
      <c r="C220" s="5"/>
      <c r="D220" s="5"/>
      <c r="E220" s="20"/>
      <c r="F220" s="20"/>
      <c r="G220" s="20"/>
      <c r="H220" s="20"/>
      <c r="I220" s="47"/>
      <c r="J220" s="2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5"/>
      <c r="C221" s="5"/>
      <c r="D221" s="5"/>
      <c r="E221" s="20"/>
      <c r="F221" s="20"/>
      <c r="G221" s="20"/>
      <c r="H221" s="20"/>
      <c r="I221" s="47"/>
      <c r="J221" s="2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5"/>
      <c r="C222" s="5"/>
      <c r="D222" s="5"/>
      <c r="E222" s="20"/>
      <c r="F222" s="20"/>
      <c r="G222" s="20"/>
      <c r="H222" s="20"/>
      <c r="I222" s="47"/>
      <c r="J222" s="2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5"/>
      <c r="C223" s="5"/>
      <c r="D223" s="5"/>
      <c r="E223" s="20"/>
      <c r="F223" s="20"/>
      <c r="G223" s="20"/>
      <c r="H223" s="20"/>
      <c r="I223" s="47"/>
      <c r="J223" s="2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5"/>
      <c r="C224" s="5"/>
      <c r="D224" s="5"/>
      <c r="E224" s="20"/>
      <c r="F224" s="20"/>
      <c r="G224" s="20"/>
      <c r="H224" s="20"/>
      <c r="I224" s="47"/>
      <c r="J224" s="2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5"/>
      <c r="C225" s="5"/>
      <c r="D225" s="5"/>
      <c r="E225" s="20"/>
      <c r="F225" s="20"/>
      <c r="G225" s="20"/>
      <c r="H225" s="20"/>
      <c r="I225" s="47"/>
      <c r="J225" s="2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5"/>
      <c r="C226" s="5"/>
      <c r="D226" s="5"/>
      <c r="E226" s="20"/>
      <c r="F226" s="20"/>
      <c r="G226" s="20"/>
      <c r="H226" s="20"/>
      <c r="I226" s="47"/>
      <c r="J226" s="2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5"/>
      <c r="C227" s="5"/>
      <c r="D227" s="5"/>
      <c r="E227" s="20"/>
      <c r="F227" s="20"/>
      <c r="G227" s="20"/>
      <c r="H227" s="20"/>
      <c r="I227" s="47"/>
      <c r="J227" s="2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5"/>
      <c r="C228" s="5"/>
      <c r="D228" s="5"/>
      <c r="E228" s="20"/>
      <c r="F228" s="20"/>
      <c r="G228" s="20"/>
      <c r="H228" s="20"/>
      <c r="I228" s="47"/>
      <c r="J228" s="2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5"/>
      <c r="C229" s="5"/>
      <c r="D229" s="5"/>
      <c r="E229" s="20"/>
      <c r="F229" s="20"/>
      <c r="G229" s="20"/>
      <c r="H229" s="20"/>
      <c r="I229" s="47"/>
      <c r="J229" s="2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5"/>
      <c r="C230" s="5"/>
      <c r="D230" s="5"/>
      <c r="E230" s="20"/>
      <c r="F230" s="20"/>
      <c r="G230" s="20"/>
      <c r="H230" s="20"/>
      <c r="I230" s="47"/>
      <c r="J230" s="2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5"/>
      <c r="C231" s="5"/>
      <c r="D231" s="5"/>
      <c r="E231" s="20"/>
      <c r="F231" s="20"/>
      <c r="G231" s="20"/>
      <c r="H231" s="20"/>
      <c r="I231" s="47"/>
      <c r="J231" s="2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5"/>
      <c r="C232" s="5"/>
      <c r="D232" s="5"/>
      <c r="E232" s="20"/>
      <c r="F232" s="20"/>
      <c r="G232" s="20"/>
      <c r="H232" s="20"/>
      <c r="I232" s="47"/>
      <c r="J232" s="2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5"/>
      <c r="C233" s="5"/>
      <c r="D233" s="5"/>
      <c r="E233" s="20"/>
      <c r="F233" s="20"/>
      <c r="G233" s="20"/>
      <c r="H233" s="20"/>
      <c r="I233" s="47"/>
      <c r="J233" s="2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5"/>
      <c r="C234" s="5"/>
      <c r="D234" s="5"/>
      <c r="E234" s="20"/>
      <c r="F234" s="20"/>
      <c r="G234" s="20"/>
      <c r="H234" s="20"/>
      <c r="I234" s="47"/>
      <c r="J234" s="2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5"/>
      <c r="C235" s="5"/>
      <c r="D235" s="5"/>
      <c r="E235" s="20"/>
      <c r="F235" s="20"/>
      <c r="G235" s="20"/>
      <c r="H235" s="20"/>
      <c r="I235" s="47"/>
      <c r="J235" s="2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5"/>
      <c r="C236" s="5"/>
      <c r="D236" s="5"/>
      <c r="E236" s="20"/>
      <c r="F236" s="20"/>
      <c r="G236" s="20"/>
      <c r="H236" s="20"/>
      <c r="I236" s="47"/>
      <c r="J236" s="2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5"/>
      <c r="C237" s="5"/>
      <c r="D237" s="5"/>
      <c r="E237" s="20"/>
      <c r="F237" s="20"/>
      <c r="G237" s="20"/>
      <c r="H237" s="20"/>
      <c r="I237" s="47"/>
      <c r="J237" s="2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5"/>
      <c r="C238" s="5"/>
      <c r="D238" s="5"/>
      <c r="E238" s="20"/>
      <c r="F238" s="20"/>
      <c r="G238" s="20"/>
      <c r="H238" s="20"/>
      <c r="I238" s="47"/>
      <c r="J238" s="2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5"/>
      <c r="C239" s="5"/>
      <c r="D239" s="5"/>
      <c r="E239" s="20"/>
      <c r="F239" s="20"/>
      <c r="G239" s="20"/>
      <c r="H239" s="20"/>
      <c r="I239" s="47"/>
      <c r="J239" s="2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5"/>
      <c r="C240" s="5"/>
      <c r="D240" s="5"/>
      <c r="E240" s="20"/>
      <c r="F240" s="20"/>
      <c r="G240" s="20"/>
      <c r="H240" s="20"/>
      <c r="I240" s="47"/>
      <c r="J240" s="2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5"/>
      <c r="C241" s="5"/>
      <c r="D241" s="5"/>
      <c r="E241" s="20"/>
      <c r="F241" s="20"/>
      <c r="G241" s="20"/>
      <c r="H241" s="20"/>
      <c r="I241" s="47"/>
      <c r="J241" s="2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5"/>
      <c r="C242" s="5"/>
      <c r="D242" s="5"/>
      <c r="E242" s="20"/>
      <c r="F242" s="20"/>
      <c r="G242" s="20"/>
      <c r="H242" s="20"/>
      <c r="I242" s="47"/>
      <c r="J242" s="2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5"/>
      <c r="C243" s="5"/>
      <c r="D243" s="5"/>
      <c r="E243" s="20"/>
      <c r="F243" s="20"/>
      <c r="G243" s="20"/>
      <c r="H243" s="20"/>
      <c r="I243" s="47"/>
      <c r="J243" s="2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5"/>
      <c r="C244" s="5"/>
      <c r="D244" s="5"/>
      <c r="E244" s="20"/>
      <c r="F244" s="20"/>
      <c r="G244" s="20"/>
      <c r="H244" s="20"/>
      <c r="I244" s="47"/>
      <c r="J244" s="2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5"/>
      <c r="C245" s="5"/>
      <c r="D245" s="5"/>
      <c r="E245" s="20"/>
      <c r="F245" s="20"/>
      <c r="G245" s="20"/>
      <c r="H245" s="20"/>
      <c r="I245" s="47"/>
      <c r="J245" s="2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5"/>
      <c r="C246" s="5"/>
      <c r="D246" s="5"/>
      <c r="E246" s="20"/>
      <c r="F246" s="20"/>
      <c r="G246" s="20"/>
      <c r="H246" s="20"/>
      <c r="I246" s="47"/>
      <c r="J246" s="2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5"/>
      <c r="C247" s="5"/>
      <c r="D247" s="5"/>
      <c r="E247" s="20"/>
      <c r="F247" s="20"/>
      <c r="G247" s="20"/>
      <c r="H247" s="20"/>
      <c r="I247" s="47"/>
      <c r="J247" s="2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5"/>
      <c r="C248" s="5"/>
      <c r="D248" s="5"/>
      <c r="E248" s="20"/>
      <c r="F248" s="20"/>
      <c r="G248" s="20"/>
      <c r="H248" s="20"/>
      <c r="I248" s="47"/>
      <c r="J248" s="2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5"/>
      <c r="C249" s="5"/>
      <c r="D249" s="5"/>
      <c r="E249" s="20"/>
      <c r="F249" s="20"/>
      <c r="G249" s="20"/>
      <c r="H249" s="20"/>
      <c r="I249" s="47"/>
      <c r="J249" s="2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5"/>
      <c r="C250" s="5"/>
      <c r="D250" s="5"/>
      <c r="E250" s="20"/>
      <c r="F250" s="20"/>
      <c r="G250" s="20"/>
      <c r="H250" s="20"/>
      <c r="I250" s="47"/>
      <c r="J250" s="2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5"/>
      <c r="C251" s="5"/>
      <c r="D251" s="5"/>
      <c r="E251" s="20"/>
      <c r="F251" s="20"/>
      <c r="G251" s="20"/>
      <c r="H251" s="20"/>
      <c r="I251" s="47"/>
      <c r="J251" s="2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5"/>
      <c r="C252" s="5"/>
      <c r="D252" s="5"/>
      <c r="E252" s="20"/>
      <c r="F252" s="20"/>
      <c r="G252" s="20"/>
      <c r="H252" s="20"/>
      <c r="I252" s="47"/>
      <c r="J252" s="2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5"/>
      <c r="C253" s="5"/>
      <c r="D253" s="5"/>
      <c r="E253" s="20"/>
      <c r="F253" s="20"/>
      <c r="G253" s="20"/>
      <c r="H253" s="20"/>
      <c r="I253" s="47"/>
      <c r="J253" s="2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5"/>
      <c r="C254" s="5"/>
      <c r="D254" s="5"/>
      <c r="E254" s="20"/>
      <c r="F254" s="20"/>
      <c r="G254" s="20"/>
      <c r="H254" s="20"/>
      <c r="I254" s="47"/>
      <c r="J254" s="2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5"/>
      <c r="C255" s="5"/>
      <c r="D255" s="5"/>
      <c r="E255" s="20"/>
      <c r="F255" s="20"/>
      <c r="G255" s="20"/>
      <c r="H255" s="20"/>
      <c r="I255" s="47"/>
      <c r="J255" s="2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5"/>
      <c r="C256" s="5"/>
      <c r="D256" s="5"/>
      <c r="E256" s="20"/>
      <c r="F256" s="20"/>
      <c r="G256" s="20"/>
      <c r="H256" s="20"/>
      <c r="I256" s="47"/>
      <c r="J256" s="2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5"/>
      <c r="C257" s="5"/>
      <c r="D257" s="5"/>
      <c r="E257" s="20"/>
      <c r="F257" s="20"/>
      <c r="G257" s="20"/>
      <c r="H257" s="20"/>
      <c r="I257" s="47"/>
      <c r="J257" s="2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5"/>
      <c r="C258" s="5"/>
      <c r="D258" s="5"/>
      <c r="E258" s="20"/>
      <c r="F258" s="20"/>
      <c r="G258" s="20"/>
      <c r="H258" s="20"/>
      <c r="I258" s="47"/>
      <c r="J258" s="2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5"/>
      <c r="C259" s="5"/>
      <c r="D259" s="5"/>
      <c r="E259" s="20"/>
      <c r="F259" s="20"/>
      <c r="G259" s="20"/>
      <c r="H259" s="20"/>
      <c r="I259" s="47"/>
      <c r="J259" s="2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5"/>
      <c r="C260" s="5"/>
      <c r="D260" s="5"/>
      <c r="E260" s="20"/>
      <c r="F260" s="20"/>
      <c r="G260" s="20"/>
      <c r="H260" s="20"/>
      <c r="I260" s="47"/>
      <c r="J260" s="2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5"/>
      <c r="C261" s="5"/>
      <c r="D261" s="5"/>
      <c r="E261" s="20"/>
      <c r="F261" s="20"/>
      <c r="G261" s="20"/>
      <c r="H261" s="20"/>
      <c r="I261" s="47"/>
      <c r="J261" s="2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5"/>
      <c r="C262" s="5"/>
      <c r="D262" s="5"/>
      <c r="E262" s="20"/>
      <c r="F262" s="20"/>
      <c r="G262" s="20"/>
      <c r="H262" s="20"/>
      <c r="I262" s="47"/>
      <c r="J262" s="2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5"/>
      <c r="C263" s="5"/>
      <c r="D263" s="5"/>
      <c r="E263" s="20"/>
      <c r="F263" s="20"/>
      <c r="G263" s="20"/>
      <c r="H263" s="20"/>
      <c r="I263" s="47"/>
      <c r="J263" s="2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5"/>
      <c r="C264" s="5"/>
      <c r="D264" s="5"/>
      <c r="E264" s="20"/>
      <c r="F264" s="20"/>
      <c r="G264" s="20"/>
      <c r="H264" s="20"/>
      <c r="I264" s="47"/>
      <c r="J264" s="2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5"/>
      <c r="C265" s="5"/>
      <c r="D265" s="5"/>
      <c r="E265" s="20"/>
      <c r="F265" s="20"/>
      <c r="G265" s="20"/>
      <c r="H265" s="20"/>
      <c r="I265" s="47"/>
      <c r="J265" s="2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5"/>
      <c r="C266" s="5"/>
      <c r="D266" s="5"/>
      <c r="E266" s="20"/>
      <c r="F266" s="20"/>
      <c r="G266" s="20"/>
      <c r="H266" s="20"/>
      <c r="I266" s="47"/>
      <c r="J266" s="2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5"/>
      <c r="C267" s="5"/>
      <c r="D267" s="5"/>
      <c r="E267" s="20"/>
      <c r="F267" s="20"/>
      <c r="G267" s="20"/>
      <c r="H267" s="20"/>
      <c r="I267" s="47"/>
      <c r="J267" s="2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5"/>
      <c r="C268" s="5"/>
      <c r="D268" s="5"/>
      <c r="E268" s="20"/>
      <c r="F268" s="20"/>
      <c r="G268" s="20"/>
      <c r="H268" s="20"/>
      <c r="I268" s="47"/>
      <c r="J268" s="2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5"/>
      <c r="C269" s="5"/>
      <c r="D269" s="5"/>
      <c r="E269" s="20"/>
      <c r="F269" s="20"/>
      <c r="G269" s="20"/>
      <c r="H269" s="20"/>
      <c r="I269" s="47"/>
      <c r="J269" s="2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5"/>
      <c r="C270" s="5"/>
      <c r="D270" s="5"/>
      <c r="E270" s="20"/>
      <c r="F270" s="20"/>
      <c r="G270" s="20"/>
      <c r="H270" s="20"/>
      <c r="I270" s="47"/>
      <c r="J270" s="2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5"/>
      <c r="C271" s="5"/>
      <c r="D271" s="5"/>
      <c r="E271" s="20"/>
      <c r="F271" s="20"/>
      <c r="G271" s="20"/>
      <c r="H271" s="20"/>
      <c r="I271" s="47"/>
      <c r="J271" s="2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5"/>
      <c r="C272" s="5"/>
      <c r="D272" s="5"/>
      <c r="E272" s="20"/>
      <c r="F272" s="20"/>
      <c r="G272" s="20"/>
      <c r="H272" s="20"/>
      <c r="I272" s="47"/>
      <c r="J272" s="2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5"/>
      <c r="C273" s="5"/>
      <c r="D273" s="5"/>
      <c r="E273" s="20"/>
      <c r="F273" s="20"/>
      <c r="G273" s="20"/>
      <c r="H273" s="20"/>
      <c r="I273" s="47"/>
      <c r="J273" s="2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5"/>
      <c r="C274" s="5"/>
      <c r="D274" s="5"/>
      <c r="E274" s="20"/>
      <c r="F274" s="20"/>
      <c r="G274" s="20"/>
      <c r="H274" s="20"/>
      <c r="I274" s="47"/>
      <c r="J274" s="2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5"/>
      <c r="C275" s="5"/>
      <c r="D275" s="5"/>
      <c r="E275" s="20"/>
      <c r="F275" s="20"/>
      <c r="G275" s="20"/>
      <c r="H275" s="20"/>
      <c r="I275" s="47"/>
      <c r="J275" s="2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5"/>
      <c r="C276" s="5"/>
      <c r="D276" s="5"/>
      <c r="E276" s="20"/>
      <c r="F276" s="20"/>
      <c r="G276" s="20"/>
      <c r="H276" s="20"/>
      <c r="I276" s="47"/>
      <c r="J276" s="2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5"/>
      <c r="C277" s="5"/>
      <c r="D277" s="5"/>
      <c r="E277" s="20"/>
      <c r="F277" s="20"/>
      <c r="G277" s="20"/>
      <c r="H277" s="20"/>
      <c r="I277" s="47"/>
      <c r="J277" s="2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5"/>
      <c r="C278" s="5"/>
      <c r="D278" s="5"/>
      <c r="E278" s="20"/>
      <c r="F278" s="20"/>
      <c r="G278" s="20"/>
      <c r="H278" s="20"/>
      <c r="I278" s="47"/>
      <c r="J278" s="2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5"/>
      <c r="C279" s="5"/>
      <c r="D279" s="5"/>
      <c r="E279" s="20"/>
      <c r="F279" s="20"/>
      <c r="G279" s="20"/>
      <c r="H279" s="20"/>
      <c r="I279" s="47"/>
      <c r="J279" s="2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5"/>
      <c r="C280" s="5"/>
      <c r="D280" s="5"/>
      <c r="E280" s="20"/>
      <c r="F280" s="20"/>
      <c r="G280" s="20"/>
      <c r="H280" s="20"/>
      <c r="I280" s="47"/>
      <c r="J280" s="2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5"/>
      <c r="C281" s="5"/>
      <c r="D281" s="5"/>
      <c r="E281" s="20"/>
      <c r="F281" s="20"/>
      <c r="G281" s="20"/>
      <c r="H281" s="20"/>
      <c r="I281" s="47"/>
      <c r="J281" s="2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5"/>
      <c r="C282" s="5"/>
      <c r="D282" s="5"/>
      <c r="E282" s="20"/>
      <c r="F282" s="20"/>
      <c r="G282" s="20"/>
      <c r="H282" s="20"/>
      <c r="I282" s="47"/>
      <c r="J282" s="2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5"/>
      <c r="C283" s="5"/>
      <c r="D283" s="5"/>
      <c r="E283" s="20"/>
      <c r="F283" s="20"/>
      <c r="G283" s="20"/>
      <c r="H283" s="20"/>
      <c r="I283" s="47"/>
      <c r="J283" s="2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5"/>
      <c r="C284" s="5"/>
      <c r="D284" s="5"/>
      <c r="E284" s="20"/>
      <c r="F284" s="20"/>
      <c r="G284" s="20"/>
      <c r="H284" s="20"/>
      <c r="I284" s="47"/>
      <c r="J284" s="2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5"/>
      <c r="C285" s="5"/>
      <c r="D285" s="5"/>
      <c r="E285" s="20"/>
      <c r="F285" s="20"/>
      <c r="G285" s="20"/>
      <c r="H285" s="20"/>
      <c r="I285" s="47"/>
      <c r="J285" s="2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5"/>
      <c r="C286" s="5"/>
      <c r="D286" s="5"/>
      <c r="E286" s="20"/>
      <c r="F286" s="20"/>
      <c r="G286" s="20"/>
      <c r="H286" s="20"/>
      <c r="I286" s="47"/>
      <c r="J286" s="2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5"/>
      <c r="C287" s="5"/>
      <c r="D287" s="5"/>
      <c r="E287" s="20"/>
      <c r="F287" s="20"/>
      <c r="G287" s="20"/>
      <c r="H287" s="20"/>
      <c r="I287" s="47"/>
      <c r="J287" s="2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5"/>
      <c r="C288" s="5"/>
      <c r="D288" s="5"/>
      <c r="E288" s="20"/>
      <c r="F288" s="20"/>
      <c r="G288" s="20"/>
      <c r="H288" s="20"/>
      <c r="I288" s="47"/>
      <c r="J288" s="2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5"/>
      <c r="C289" s="5"/>
      <c r="D289" s="5"/>
      <c r="E289" s="20"/>
      <c r="F289" s="20"/>
      <c r="G289" s="20"/>
      <c r="H289" s="20"/>
      <c r="I289" s="47"/>
      <c r="J289" s="2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5"/>
      <c r="C290" s="5"/>
      <c r="D290" s="5"/>
      <c r="E290" s="20"/>
      <c r="F290" s="20"/>
      <c r="G290" s="20"/>
      <c r="H290" s="20"/>
      <c r="I290" s="47"/>
      <c r="J290" s="2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5"/>
      <c r="C291" s="5"/>
      <c r="D291" s="5"/>
      <c r="E291" s="20"/>
      <c r="F291" s="20"/>
      <c r="G291" s="20"/>
      <c r="H291" s="20"/>
      <c r="I291" s="47"/>
      <c r="J291" s="2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5"/>
      <c r="C292" s="5"/>
      <c r="D292" s="5"/>
      <c r="E292" s="20"/>
      <c r="F292" s="20"/>
      <c r="G292" s="20"/>
      <c r="H292" s="20"/>
      <c r="I292" s="47"/>
      <c r="J292" s="2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5"/>
      <c r="C293" s="5"/>
      <c r="D293" s="5"/>
      <c r="E293" s="20"/>
      <c r="F293" s="20"/>
      <c r="G293" s="20"/>
      <c r="H293" s="20"/>
      <c r="I293" s="47"/>
      <c r="J293" s="2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5"/>
      <c r="C294" s="5"/>
      <c r="D294" s="5"/>
      <c r="E294" s="20"/>
      <c r="F294" s="20"/>
      <c r="G294" s="20"/>
      <c r="H294" s="20"/>
      <c r="I294" s="47"/>
      <c r="J294" s="2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5"/>
      <c r="C295" s="5"/>
      <c r="D295" s="5"/>
      <c r="E295" s="20"/>
      <c r="F295" s="20"/>
      <c r="G295" s="20"/>
      <c r="H295" s="20"/>
      <c r="I295" s="47"/>
      <c r="J295" s="2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5"/>
      <c r="C296" s="5"/>
      <c r="D296" s="5"/>
      <c r="E296" s="20"/>
      <c r="F296" s="20"/>
      <c r="G296" s="20"/>
      <c r="H296" s="20"/>
      <c r="I296" s="47"/>
      <c r="J296" s="2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5"/>
      <c r="C297" s="5"/>
      <c r="D297" s="5"/>
      <c r="E297" s="20"/>
      <c r="F297" s="20"/>
      <c r="G297" s="20"/>
      <c r="H297" s="20"/>
      <c r="I297" s="47"/>
      <c r="J297" s="2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5"/>
      <c r="C298" s="5"/>
      <c r="D298" s="5"/>
      <c r="E298" s="20"/>
      <c r="F298" s="20"/>
      <c r="G298" s="20"/>
      <c r="H298" s="20"/>
      <c r="I298" s="47"/>
      <c r="J298" s="2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5"/>
      <c r="C299" s="5"/>
      <c r="D299" s="5"/>
      <c r="E299" s="20"/>
      <c r="F299" s="20"/>
      <c r="G299" s="20"/>
      <c r="H299" s="20"/>
      <c r="I299" s="47"/>
      <c r="J299" s="2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5"/>
      <c r="C300" s="5"/>
      <c r="D300" s="5"/>
      <c r="E300" s="20"/>
      <c r="F300" s="20"/>
      <c r="G300" s="20"/>
      <c r="H300" s="20"/>
      <c r="I300" s="47"/>
      <c r="J300" s="2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5"/>
      <c r="C301" s="5"/>
      <c r="D301" s="5"/>
      <c r="E301" s="20"/>
      <c r="F301" s="20"/>
      <c r="G301" s="20"/>
      <c r="H301" s="20"/>
      <c r="I301" s="47"/>
      <c r="J301" s="2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5"/>
      <c r="C302" s="5"/>
      <c r="D302" s="5"/>
      <c r="E302" s="20"/>
      <c r="F302" s="20"/>
      <c r="G302" s="20"/>
      <c r="H302" s="20"/>
      <c r="I302" s="47"/>
      <c r="J302" s="2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5"/>
      <c r="C303" s="5"/>
      <c r="D303" s="5"/>
      <c r="E303" s="20"/>
      <c r="F303" s="20"/>
      <c r="G303" s="20"/>
      <c r="H303" s="20"/>
      <c r="I303" s="47"/>
      <c r="J303" s="2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5"/>
      <c r="C304" s="5"/>
      <c r="D304" s="5"/>
      <c r="E304" s="20"/>
      <c r="F304" s="20"/>
      <c r="G304" s="20"/>
      <c r="H304" s="20"/>
      <c r="I304" s="47"/>
      <c r="J304" s="2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5"/>
      <c r="C305" s="5"/>
      <c r="D305" s="5"/>
      <c r="E305" s="20"/>
      <c r="F305" s="20"/>
      <c r="G305" s="20"/>
      <c r="H305" s="20"/>
      <c r="I305" s="47"/>
      <c r="J305" s="2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5"/>
      <c r="C306" s="5"/>
      <c r="D306" s="5"/>
      <c r="E306" s="20"/>
      <c r="F306" s="20"/>
      <c r="G306" s="20"/>
      <c r="H306" s="20"/>
      <c r="I306" s="47"/>
      <c r="J306" s="2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5"/>
      <c r="C307" s="5"/>
      <c r="D307" s="5"/>
      <c r="E307" s="20"/>
      <c r="F307" s="20"/>
      <c r="G307" s="20"/>
      <c r="H307" s="20"/>
      <c r="I307" s="47"/>
      <c r="J307" s="2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5"/>
      <c r="C308" s="5"/>
      <c r="D308" s="5"/>
      <c r="E308" s="20"/>
      <c r="F308" s="20"/>
      <c r="G308" s="20"/>
      <c r="H308" s="20"/>
      <c r="I308" s="47"/>
      <c r="J308" s="2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5"/>
      <c r="C309" s="5"/>
      <c r="D309" s="5"/>
      <c r="E309" s="20"/>
      <c r="F309" s="20"/>
      <c r="G309" s="20"/>
      <c r="H309" s="20"/>
      <c r="I309" s="47"/>
      <c r="J309" s="2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5"/>
      <c r="C310" s="5"/>
      <c r="D310" s="5"/>
      <c r="E310" s="20"/>
      <c r="F310" s="20"/>
      <c r="G310" s="20"/>
      <c r="H310" s="20"/>
      <c r="I310" s="47"/>
      <c r="J310" s="2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5"/>
      <c r="C311" s="5"/>
      <c r="D311" s="5"/>
      <c r="E311" s="20"/>
      <c r="F311" s="20"/>
      <c r="G311" s="20"/>
      <c r="H311" s="20"/>
      <c r="I311" s="47"/>
      <c r="J311" s="2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5"/>
      <c r="C312" s="5"/>
      <c r="D312" s="5"/>
      <c r="E312" s="20"/>
      <c r="F312" s="20"/>
      <c r="G312" s="20"/>
      <c r="H312" s="20"/>
      <c r="I312" s="47"/>
      <c r="J312" s="2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5"/>
      <c r="C313" s="5"/>
      <c r="D313" s="5"/>
      <c r="E313" s="20"/>
      <c r="F313" s="20"/>
      <c r="G313" s="20"/>
      <c r="H313" s="20"/>
      <c r="I313" s="47"/>
      <c r="J313" s="2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5"/>
      <c r="C314" s="5"/>
      <c r="D314" s="5"/>
      <c r="E314" s="20"/>
      <c r="F314" s="20"/>
      <c r="G314" s="20"/>
      <c r="H314" s="20"/>
      <c r="I314" s="47"/>
      <c r="J314" s="2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5"/>
      <c r="C315" s="5"/>
      <c r="D315" s="5"/>
      <c r="E315" s="20"/>
      <c r="F315" s="20"/>
      <c r="G315" s="20"/>
      <c r="H315" s="20"/>
      <c r="I315" s="47"/>
      <c r="J315" s="2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5"/>
      <c r="C316" s="5"/>
      <c r="D316" s="5"/>
      <c r="E316" s="20"/>
      <c r="F316" s="20"/>
      <c r="G316" s="20"/>
      <c r="H316" s="20"/>
      <c r="I316" s="47"/>
      <c r="J316" s="2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5"/>
      <c r="C317" s="5"/>
      <c r="D317" s="5"/>
      <c r="E317" s="20"/>
      <c r="F317" s="20"/>
      <c r="G317" s="20"/>
      <c r="H317" s="20"/>
      <c r="I317" s="47"/>
      <c r="J317" s="2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5"/>
      <c r="C318" s="5"/>
      <c r="D318" s="5"/>
      <c r="E318" s="20"/>
      <c r="F318" s="20"/>
      <c r="G318" s="20"/>
      <c r="H318" s="20"/>
      <c r="I318" s="47"/>
      <c r="J318" s="2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5"/>
      <c r="C319" s="5"/>
      <c r="D319" s="5"/>
      <c r="E319" s="20"/>
      <c r="F319" s="20"/>
      <c r="G319" s="20"/>
      <c r="H319" s="20"/>
      <c r="I319" s="47"/>
      <c r="J319" s="2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5"/>
      <c r="C320" s="5"/>
      <c r="D320" s="5"/>
      <c r="E320" s="20"/>
      <c r="F320" s="20"/>
      <c r="G320" s="20"/>
      <c r="H320" s="20"/>
      <c r="I320" s="47"/>
      <c r="J320" s="2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5"/>
      <c r="C321" s="5"/>
      <c r="D321" s="5"/>
      <c r="E321" s="20"/>
      <c r="F321" s="20"/>
      <c r="G321" s="20"/>
      <c r="H321" s="20"/>
      <c r="I321" s="47"/>
      <c r="J321" s="2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5"/>
      <c r="C322" s="5"/>
      <c r="D322" s="5"/>
      <c r="E322" s="20"/>
      <c r="F322" s="20"/>
      <c r="G322" s="20"/>
      <c r="H322" s="20"/>
      <c r="I322" s="47"/>
      <c r="J322" s="2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5"/>
      <c r="C323" s="5"/>
      <c r="D323" s="5"/>
      <c r="E323" s="20"/>
      <c r="F323" s="20"/>
      <c r="G323" s="20"/>
      <c r="H323" s="20"/>
      <c r="I323" s="47"/>
      <c r="J323" s="2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5"/>
      <c r="C324" s="5"/>
      <c r="D324" s="5"/>
      <c r="E324" s="20"/>
      <c r="F324" s="20"/>
      <c r="G324" s="20"/>
      <c r="H324" s="20"/>
      <c r="I324" s="47"/>
      <c r="J324" s="2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5"/>
      <c r="C325" s="5"/>
      <c r="D325" s="5"/>
      <c r="E325" s="20"/>
      <c r="F325" s="20"/>
      <c r="G325" s="20"/>
      <c r="H325" s="20"/>
      <c r="I325" s="47"/>
      <c r="J325" s="2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5"/>
      <c r="C326" s="5"/>
      <c r="D326" s="5"/>
      <c r="E326" s="20"/>
      <c r="F326" s="20"/>
      <c r="G326" s="20"/>
      <c r="H326" s="20"/>
      <c r="I326" s="47"/>
      <c r="J326" s="2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5"/>
      <c r="C327" s="5"/>
      <c r="D327" s="5"/>
      <c r="E327" s="20"/>
      <c r="F327" s="20"/>
      <c r="G327" s="20"/>
      <c r="H327" s="20"/>
      <c r="I327" s="47"/>
      <c r="J327" s="2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5"/>
      <c r="C328" s="5"/>
      <c r="D328" s="5"/>
      <c r="E328" s="20"/>
      <c r="F328" s="20"/>
      <c r="G328" s="20"/>
      <c r="H328" s="20"/>
      <c r="I328" s="47"/>
      <c r="J328" s="2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5"/>
      <c r="C329" s="5"/>
      <c r="D329" s="5"/>
      <c r="E329" s="20"/>
      <c r="F329" s="20"/>
      <c r="G329" s="20"/>
      <c r="H329" s="20"/>
      <c r="I329" s="47"/>
      <c r="J329" s="2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5"/>
      <c r="C330" s="5"/>
      <c r="D330" s="5"/>
      <c r="E330" s="20"/>
      <c r="F330" s="20"/>
      <c r="G330" s="20"/>
      <c r="H330" s="20"/>
      <c r="I330" s="47"/>
      <c r="J330" s="2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5"/>
      <c r="C331" s="5"/>
      <c r="D331" s="5"/>
      <c r="E331" s="20"/>
      <c r="F331" s="20"/>
      <c r="G331" s="20"/>
      <c r="H331" s="20"/>
      <c r="I331" s="47"/>
      <c r="J331" s="2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5"/>
      <c r="C332" s="5"/>
      <c r="D332" s="5"/>
      <c r="E332" s="20"/>
      <c r="F332" s="20"/>
      <c r="G332" s="20"/>
      <c r="H332" s="20"/>
      <c r="I332" s="47"/>
      <c r="J332" s="2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5"/>
      <c r="C333" s="5"/>
      <c r="D333" s="5"/>
      <c r="E333" s="20"/>
      <c r="F333" s="20"/>
      <c r="G333" s="20"/>
      <c r="H333" s="20"/>
      <c r="I333" s="47"/>
      <c r="J333" s="2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5"/>
      <c r="C334" s="5"/>
      <c r="D334" s="5"/>
      <c r="E334" s="20"/>
      <c r="F334" s="20"/>
      <c r="G334" s="20"/>
      <c r="H334" s="20"/>
      <c r="I334" s="47"/>
      <c r="J334" s="2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5"/>
      <c r="C335" s="5"/>
      <c r="D335" s="5"/>
      <c r="E335" s="20"/>
      <c r="F335" s="20"/>
      <c r="G335" s="20"/>
      <c r="H335" s="20"/>
      <c r="I335" s="47"/>
      <c r="J335" s="2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5"/>
      <c r="C336" s="5"/>
      <c r="D336" s="5"/>
      <c r="E336" s="20"/>
      <c r="F336" s="20"/>
      <c r="G336" s="20"/>
      <c r="H336" s="20"/>
      <c r="I336" s="47"/>
      <c r="J336" s="2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5"/>
      <c r="C337" s="5"/>
      <c r="D337" s="5"/>
      <c r="E337" s="20"/>
      <c r="F337" s="20"/>
      <c r="G337" s="20"/>
      <c r="H337" s="20"/>
      <c r="I337" s="47"/>
      <c r="J337" s="2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5"/>
      <c r="C338" s="5"/>
      <c r="D338" s="5"/>
      <c r="E338" s="20"/>
      <c r="F338" s="20"/>
      <c r="G338" s="20"/>
      <c r="H338" s="20"/>
      <c r="I338" s="47"/>
      <c r="J338" s="2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5"/>
      <c r="C339" s="5"/>
      <c r="D339" s="5"/>
      <c r="E339" s="20"/>
      <c r="F339" s="20"/>
      <c r="G339" s="20"/>
      <c r="H339" s="20"/>
      <c r="I339" s="47"/>
      <c r="J339" s="2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5"/>
      <c r="C340" s="5"/>
      <c r="D340" s="5"/>
      <c r="E340" s="20"/>
      <c r="F340" s="20"/>
      <c r="G340" s="20"/>
      <c r="H340" s="20"/>
      <c r="I340" s="47"/>
      <c r="J340" s="2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5"/>
      <c r="C341" s="5"/>
      <c r="D341" s="5"/>
      <c r="E341" s="20"/>
      <c r="F341" s="20"/>
      <c r="G341" s="20"/>
      <c r="H341" s="20"/>
      <c r="I341" s="47"/>
      <c r="J341" s="2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5"/>
      <c r="C342" s="5"/>
      <c r="D342" s="5"/>
      <c r="E342" s="20"/>
      <c r="F342" s="20"/>
      <c r="G342" s="20"/>
      <c r="H342" s="20"/>
      <c r="I342" s="47"/>
      <c r="J342" s="2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5"/>
      <c r="C343" s="5"/>
      <c r="D343" s="5"/>
      <c r="E343" s="20"/>
      <c r="F343" s="20"/>
      <c r="G343" s="20"/>
      <c r="H343" s="20"/>
      <c r="I343" s="47"/>
      <c r="J343" s="2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5"/>
      <c r="C344" s="5"/>
      <c r="D344" s="5"/>
      <c r="E344" s="20"/>
      <c r="F344" s="20"/>
      <c r="G344" s="20"/>
      <c r="H344" s="20"/>
      <c r="I344" s="47"/>
      <c r="J344" s="2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5"/>
      <c r="C345" s="5"/>
      <c r="D345" s="5"/>
      <c r="E345" s="20"/>
      <c r="F345" s="20"/>
      <c r="G345" s="20"/>
      <c r="H345" s="20"/>
      <c r="I345" s="47"/>
      <c r="J345" s="2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5"/>
      <c r="C346" s="5"/>
      <c r="D346" s="5"/>
      <c r="E346" s="20"/>
      <c r="F346" s="20"/>
      <c r="G346" s="20"/>
      <c r="H346" s="20"/>
      <c r="I346" s="47"/>
      <c r="J346" s="2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5"/>
      <c r="C347" s="5"/>
      <c r="D347" s="5"/>
      <c r="E347" s="20"/>
      <c r="F347" s="20"/>
      <c r="G347" s="20"/>
      <c r="H347" s="20"/>
      <c r="I347" s="47"/>
      <c r="J347" s="2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5"/>
      <c r="C348" s="5"/>
      <c r="D348" s="5"/>
      <c r="E348" s="20"/>
      <c r="F348" s="20"/>
      <c r="G348" s="20"/>
      <c r="H348" s="20"/>
      <c r="I348" s="47"/>
      <c r="J348" s="2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5"/>
      <c r="C349" s="5"/>
      <c r="D349" s="5"/>
      <c r="E349" s="20"/>
      <c r="F349" s="20"/>
      <c r="G349" s="20"/>
      <c r="H349" s="20"/>
      <c r="I349" s="47"/>
      <c r="J349" s="2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5"/>
      <c r="C350" s="5"/>
      <c r="D350" s="5"/>
      <c r="E350" s="20"/>
      <c r="F350" s="20"/>
      <c r="G350" s="20"/>
      <c r="H350" s="20"/>
      <c r="I350" s="47"/>
      <c r="J350" s="2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5"/>
      <c r="C351" s="5"/>
      <c r="D351" s="5"/>
      <c r="E351" s="20"/>
      <c r="F351" s="20"/>
      <c r="G351" s="20"/>
      <c r="H351" s="20"/>
      <c r="I351" s="47"/>
      <c r="J351" s="2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5"/>
      <c r="C352" s="5"/>
      <c r="D352" s="5"/>
      <c r="E352" s="20"/>
      <c r="F352" s="20"/>
      <c r="G352" s="20"/>
      <c r="H352" s="20"/>
      <c r="I352" s="47"/>
      <c r="J352" s="2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5"/>
      <c r="C353" s="5"/>
      <c r="D353" s="5"/>
      <c r="E353" s="20"/>
      <c r="F353" s="20"/>
      <c r="G353" s="20"/>
      <c r="H353" s="20"/>
      <c r="I353" s="47"/>
      <c r="J353" s="2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5"/>
      <c r="C354" s="5"/>
      <c r="D354" s="5"/>
      <c r="E354" s="20"/>
      <c r="F354" s="20"/>
      <c r="G354" s="20"/>
      <c r="H354" s="20"/>
      <c r="I354" s="47"/>
      <c r="J354" s="2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5"/>
      <c r="C355" s="5"/>
      <c r="D355" s="5"/>
      <c r="E355" s="20"/>
      <c r="F355" s="20"/>
      <c r="G355" s="20"/>
      <c r="H355" s="20"/>
      <c r="I355" s="47"/>
      <c r="J355" s="2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5"/>
      <c r="C356" s="5"/>
      <c r="D356" s="5"/>
      <c r="E356" s="20"/>
      <c r="F356" s="20"/>
      <c r="G356" s="20"/>
      <c r="H356" s="20"/>
      <c r="I356" s="47"/>
      <c r="J356" s="2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5"/>
      <c r="C357" s="5"/>
      <c r="D357" s="5"/>
      <c r="E357" s="20"/>
      <c r="F357" s="20"/>
      <c r="G357" s="20"/>
      <c r="H357" s="20"/>
      <c r="I357" s="47"/>
      <c r="J357" s="2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5"/>
      <c r="C358" s="5"/>
      <c r="D358" s="5"/>
      <c r="E358" s="20"/>
      <c r="F358" s="20"/>
      <c r="G358" s="20"/>
      <c r="H358" s="20"/>
      <c r="I358" s="47"/>
      <c r="J358" s="2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5"/>
      <c r="C359" s="5"/>
      <c r="D359" s="5"/>
      <c r="E359" s="20"/>
      <c r="F359" s="20"/>
      <c r="G359" s="20"/>
      <c r="H359" s="20"/>
      <c r="I359" s="47"/>
      <c r="J359" s="2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5"/>
      <c r="C360" s="5"/>
      <c r="D360" s="5"/>
      <c r="E360" s="20"/>
      <c r="F360" s="20"/>
      <c r="G360" s="20"/>
      <c r="H360" s="20"/>
      <c r="I360" s="47"/>
      <c r="J360" s="2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5"/>
      <c r="C361" s="5"/>
      <c r="D361" s="5"/>
      <c r="E361" s="20"/>
      <c r="F361" s="20"/>
      <c r="G361" s="20"/>
      <c r="H361" s="20"/>
      <c r="I361" s="47"/>
      <c r="J361" s="2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5"/>
      <c r="C362" s="5"/>
      <c r="D362" s="5"/>
      <c r="E362" s="20"/>
      <c r="F362" s="20"/>
      <c r="G362" s="20"/>
      <c r="H362" s="20"/>
      <c r="I362" s="47"/>
      <c r="J362" s="2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5"/>
      <c r="C363" s="5"/>
      <c r="D363" s="5"/>
      <c r="E363" s="20"/>
      <c r="F363" s="20"/>
      <c r="G363" s="20"/>
      <c r="H363" s="20"/>
      <c r="I363" s="47"/>
      <c r="J363" s="2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5"/>
      <c r="C364" s="5"/>
      <c r="D364" s="5"/>
      <c r="E364" s="20"/>
      <c r="F364" s="20"/>
      <c r="G364" s="20"/>
      <c r="H364" s="20"/>
      <c r="I364" s="47"/>
      <c r="J364" s="2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5"/>
      <c r="C365" s="5"/>
      <c r="D365" s="5"/>
      <c r="E365" s="20"/>
      <c r="F365" s="20"/>
      <c r="G365" s="20"/>
      <c r="H365" s="20"/>
      <c r="I365" s="47"/>
      <c r="J365" s="2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5"/>
      <c r="C366" s="5"/>
      <c r="D366" s="5"/>
      <c r="E366" s="20"/>
      <c r="F366" s="20"/>
      <c r="G366" s="20"/>
      <c r="H366" s="20"/>
      <c r="I366" s="47"/>
      <c r="J366" s="2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5"/>
      <c r="C367" s="5"/>
      <c r="D367" s="5"/>
      <c r="E367" s="20"/>
      <c r="F367" s="20"/>
      <c r="G367" s="20"/>
      <c r="H367" s="20"/>
      <c r="I367" s="47"/>
      <c r="J367" s="2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5"/>
      <c r="C368" s="5"/>
      <c r="D368" s="5"/>
      <c r="E368" s="20"/>
      <c r="F368" s="20"/>
      <c r="G368" s="20"/>
      <c r="H368" s="20"/>
      <c r="I368" s="47"/>
      <c r="J368" s="2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5"/>
      <c r="C369" s="5"/>
      <c r="D369" s="5"/>
      <c r="E369" s="20"/>
      <c r="F369" s="20"/>
      <c r="G369" s="20"/>
      <c r="H369" s="20"/>
      <c r="I369" s="47"/>
      <c r="J369" s="2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5"/>
      <c r="C370" s="5"/>
      <c r="D370" s="5"/>
      <c r="E370" s="20"/>
      <c r="F370" s="20"/>
      <c r="G370" s="20"/>
      <c r="H370" s="20"/>
      <c r="I370" s="47"/>
      <c r="J370" s="2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5"/>
      <c r="C371" s="5"/>
      <c r="D371" s="5"/>
      <c r="E371" s="20"/>
      <c r="F371" s="20"/>
      <c r="G371" s="20"/>
      <c r="H371" s="20"/>
      <c r="I371" s="47"/>
      <c r="J371" s="2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5"/>
      <c r="C372" s="5"/>
      <c r="D372" s="5"/>
      <c r="E372" s="20"/>
      <c r="F372" s="20"/>
      <c r="G372" s="20"/>
      <c r="H372" s="20"/>
      <c r="I372" s="47"/>
      <c r="J372" s="2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5"/>
      <c r="C373" s="5"/>
      <c r="D373" s="5"/>
      <c r="E373" s="20"/>
      <c r="F373" s="20"/>
      <c r="G373" s="20"/>
      <c r="H373" s="20"/>
      <c r="I373" s="47"/>
      <c r="J373" s="2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5"/>
      <c r="C374" s="5"/>
      <c r="D374" s="5"/>
      <c r="E374" s="20"/>
      <c r="F374" s="20"/>
      <c r="G374" s="20"/>
      <c r="H374" s="20"/>
      <c r="I374" s="47"/>
      <c r="J374" s="2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5"/>
      <c r="C375" s="5"/>
      <c r="D375" s="5"/>
      <c r="E375" s="20"/>
      <c r="F375" s="20"/>
      <c r="G375" s="20"/>
      <c r="H375" s="20"/>
      <c r="I375" s="47"/>
      <c r="J375" s="2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5"/>
      <c r="C376" s="5"/>
      <c r="D376" s="5"/>
      <c r="E376" s="20"/>
      <c r="F376" s="20"/>
      <c r="G376" s="20"/>
      <c r="H376" s="20"/>
      <c r="I376" s="47"/>
      <c r="J376" s="2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5"/>
      <c r="C377" s="5"/>
      <c r="D377" s="5"/>
      <c r="E377" s="20"/>
      <c r="F377" s="20"/>
      <c r="G377" s="20"/>
      <c r="H377" s="20"/>
      <c r="I377" s="47"/>
      <c r="J377" s="2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5"/>
      <c r="C378" s="5"/>
      <c r="D378" s="5"/>
      <c r="E378" s="20"/>
      <c r="F378" s="20"/>
      <c r="G378" s="20"/>
      <c r="H378" s="20"/>
      <c r="I378" s="47"/>
      <c r="J378" s="2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5"/>
      <c r="C379" s="5"/>
      <c r="D379" s="5"/>
      <c r="E379" s="20"/>
      <c r="F379" s="20"/>
      <c r="G379" s="20"/>
      <c r="H379" s="20"/>
      <c r="I379" s="47"/>
      <c r="J379" s="2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5"/>
      <c r="C380" s="5"/>
      <c r="D380" s="5"/>
      <c r="E380" s="20"/>
      <c r="F380" s="20"/>
      <c r="G380" s="20"/>
      <c r="H380" s="20"/>
      <c r="I380" s="47"/>
      <c r="J380" s="2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5"/>
      <c r="C381" s="5"/>
      <c r="D381" s="5"/>
      <c r="E381" s="20"/>
      <c r="F381" s="20"/>
      <c r="G381" s="20"/>
      <c r="H381" s="20"/>
      <c r="I381" s="47"/>
      <c r="J381" s="2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5"/>
      <c r="C382" s="5"/>
      <c r="D382" s="5"/>
      <c r="E382" s="20"/>
      <c r="F382" s="20"/>
      <c r="G382" s="20"/>
      <c r="H382" s="20"/>
      <c r="I382" s="47"/>
      <c r="J382" s="2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5"/>
      <c r="C383" s="5"/>
      <c r="D383" s="5"/>
      <c r="E383" s="20"/>
      <c r="F383" s="20"/>
      <c r="G383" s="20"/>
      <c r="H383" s="20"/>
      <c r="I383" s="47"/>
      <c r="J383" s="2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5"/>
      <c r="C384" s="5"/>
      <c r="D384" s="5"/>
      <c r="E384" s="20"/>
      <c r="F384" s="20"/>
      <c r="G384" s="20"/>
      <c r="H384" s="20"/>
      <c r="I384" s="47"/>
      <c r="J384" s="2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5"/>
      <c r="C385" s="5"/>
      <c r="D385" s="5"/>
      <c r="E385" s="20"/>
      <c r="F385" s="20"/>
      <c r="G385" s="20"/>
      <c r="H385" s="20"/>
      <c r="I385" s="47"/>
      <c r="J385" s="2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5"/>
      <c r="C386" s="5"/>
      <c r="D386" s="5"/>
      <c r="E386" s="20"/>
      <c r="F386" s="20"/>
      <c r="G386" s="20"/>
      <c r="H386" s="20"/>
      <c r="I386" s="47"/>
      <c r="J386" s="2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5"/>
      <c r="C387" s="5"/>
      <c r="D387" s="5"/>
      <c r="E387" s="20"/>
      <c r="F387" s="20"/>
      <c r="G387" s="20"/>
      <c r="H387" s="20"/>
      <c r="I387" s="47"/>
      <c r="J387" s="2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5"/>
      <c r="C388" s="5"/>
      <c r="D388" s="5"/>
      <c r="E388" s="20"/>
      <c r="F388" s="20"/>
      <c r="G388" s="20"/>
      <c r="H388" s="20"/>
      <c r="I388" s="47"/>
      <c r="J388" s="2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5"/>
      <c r="C389" s="5"/>
      <c r="D389" s="5"/>
      <c r="E389" s="20"/>
      <c r="F389" s="20"/>
      <c r="G389" s="20"/>
      <c r="H389" s="20"/>
      <c r="I389" s="47"/>
      <c r="J389" s="2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5"/>
      <c r="C390" s="5"/>
      <c r="D390" s="5"/>
      <c r="E390" s="20"/>
      <c r="F390" s="20"/>
      <c r="G390" s="20"/>
      <c r="H390" s="20"/>
      <c r="I390" s="47"/>
      <c r="J390" s="2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5"/>
      <c r="C391" s="5"/>
      <c r="D391" s="5"/>
      <c r="E391" s="20"/>
      <c r="F391" s="20"/>
      <c r="G391" s="20"/>
      <c r="H391" s="20"/>
      <c r="I391" s="47"/>
      <c r="J391" s="2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5"/>
      <c r="C392" s="5"/>
      <c r="D392" s="5"/>
      <c r="E392" s="20"/>
      <c r="F392" s="20"/>
      <c r="G392" s="20"/>
      <c r="H392" s="20"/>
      <c r="I392" s="47"/>
      <c r="J392" s="2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5"/>
      <c r="C393" s="5"/>
      <c r="D393" s="5"/>
      <c r="E393" s="20"/>
      <c r="F393" s="20"/>
      <c r="G393" s="20"/>
      <c r="H393" s="20"/>
      <c r="I393" s="47"/>
      <c r="J393" s="2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5"/>
      <c r="C394" s="5"/>
      <c r="D394" s="5"/>
      <c r="E394" s="20"/>
      <c r="F394" s="20"/>
      <c r="G394" s="20"/>
      <c r="H394" s="20"/>
      <c r="I394" s="47"/>
      <c r="J394" s="2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5"/>
      <c r="C395" s="5"/>
      <c r="D395" s="5"/>
      <c r="E395" s="20"/>
      <c r="F395" s="20"/>
      <c r="G395" s="20"/>
      <c r="H395" s="20"/>
      <c r="I395" s="47"/>
      <c r="J395" s="2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5"/>
      <c r="C396" s="5"/>
      <c r="D396" s="5"/>
      <c r="E396" s="20"/>
      <c r="F396" s="20"/>
      <c r="G396" s="20"/>
      <c r="H396" s="20"/>
      <c r="I396" s="47"/>
      <c r="J396" s="2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5"/>
      <c r="C397" s="5"/>
      <c r="D397" s="5"/>
      <c r="E397" s="20"/>
      <c r="F397" s="20"/>
      <c r="G397" s="20"/>
      <c r="H397" s="20"/>
      <c r="I397" s="47"/>
      <c r="J397" s="2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5"/>
      <c r="C398" s="5"/>
      <c r="D398" s="5"/>
      <c r="E398" s="20"/>
      <c r="F398" s="20"/>
      <c r="G398" s="20"/>
      <c r="H398" s="20"/>
      <c r="I398" s="47"/>
      <c r="J398" s="2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5"/>
      <c r="C399" s="5"/>
      <c r="D399" s="5"/>
      <c r="E399" s="20"/>
      <c r="F399" s="20"/>
      <c r="G399" s="20"/>
      <c r="H399" s="20"/>
      <c r="I399" s="47"/>
      <c r="J399" s="2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5"/>
      <c r="C400" s="5"/>
      <c r="D400" s="5"/>
      <c r="E400" s="20"/>
      <c r="F400" s="20"/>
      <c r="G400" s="20"/>
      <c r="H400" s="20"/>
      <c r="I400" s="47"/>
      <c r="J400" s="2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5"/>
      <c r="C401" s="5"/>
      <c r="D401" s="5"/>
      <c r="E401" s="20"/>
      <c r="F401" s="20"/>
      <c r="G401" s="20"/>
      <c r="H401" s="20"/>
      <c r="I401" s="47"/>
      <c r="J401" s="2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5"/>
      <c r="C402" s="5"/>
      <c r="D402" s="5"/>
      <c r="E402" s="20"/>
      <c r="F402" s="20"/>
      <c r="G402" s="20"/>
      <c r="H402" s="20"/>
      <c r="I402" s="47"/>
      <c r="J402" s="2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5"/>
      <c r="C403" s="5"/>
      <c r="D403" s="5"/>
      <c r="E403" s="20"/>
      <c r="F403" s="20"/>
      <c r="G403" s="20"/>
      <c r="H403" s="20"/>
      <c r="I403" s="47"/>
      <c r="J403" s="2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5"/>
      <c r="C404" s="5"/>
      <c r="D404" s="5"/>
      <c r="E404" s="20"/>
      <c r="F404" s="20"/>
      <c r="G404" s="20"/>
      <c r="H404" s="20"/>
      <c r="I404" s="47"/>
      <c r="J404" s="2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5"/>
      <c r="C405" s="5"/>
      <c r="D405" s="5"/>
      <c r="E405" s="20"/>
      <c r="F405" s="20"/>
      <c r="G405" s="20"/>
      <c r="H405" s="20"/>
      <c r="I405" s="47"/>
      <c r="J405" s="2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5"/>
      <c r="C406" s="5"/>
      <c r="D406" s="5"/>
      <c r="E406" s="20"/>
      <c r="F406" s="20"/>
      <c r="G406" s="20"/>
      <c r="H406" s="20"/>
      <c r="I406" s="47"/>
      <c r="J406" s="2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5"/>
      <c r="C407" s="5"/>
      <c r="D407" s="5"/>
      <c r="E407" s="20"/>
      <c r="F407" s="20"/>
      <c r="G407" s="20"/>
      <c r="H407" s="20"/>
      <c r="I407" s="47"/>
      <c r="J407" s="2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5"/>
      <c r="C408" s="5"/>
      <c r="D408" s="5"/>
      <c r="E408" s="20"/>
      <c r="F408" s="20"/>
      <c r="G408" s="20"/>
      <c r="H408" s="20"/>
      <c r="I408" s="47"/>
      <c r="J408" s="2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5"/>
      <c r="C409" s="5"/>
      <c r="D409" s="5"/>
      <c r="E409" s="20"/>
      <c r="F409" s="20"/>
      <c r="G409" s="20"/>
      <c r="H409" s="20"/>
      <c r="I409" s="47"/>
      <c r="J409" s="2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5"/>
      <c r="C410" s="5"/>
      <c r="D410" s="5"/>
      <c r="E410" s="20"/>
      <c r="F410" s="20"/>
      <c r="G410" s="20"/>
      <c r="H410" s="20"/>
      <c r="I410" s="47"/>
      <c r="J410" s="2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5"/>
      <c r="C411" s="5"/>
      <c r="D411" s="5"/>
      <c r="E411" s="20"/>
      <c r="F411" s="20"/>
      <c r="G411" s="20"/>
      <c r="H411" s="20"/>
      <c r="I411" s="47"/>
      <c r="J411" s="2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5"/>
      <c r="C412" s="5"/>
      <c r="D412" s="5"/>
      <c r="E412" s="20"/>
      <c r="F412" s="20"/>
      <c r="G412" s="20"/>
      <c r="H412" s="20"/>
      <c r="I412" s="47"/>
      <c r="J412" s="2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5"/>
      <c r="C413" s="5"/>
      <c r="D413" s="5"/>
      <c r="E413" s="20"/>
      <c r="F413" s="20"/>
      <c r="G413" s="20"/>
      <c r="H413" s="20"/>
      <c r="I413" s="47"/>
      <c r="J413" s="2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5"/>
      <c r="C414" s="5"/>
      <c r="D414" s="5"/>
      <c r="E414" s="20"/>
      <c r="F414" s="20"/>
      <c r="G414" s="20"/>
      <c r="H414" s="20"/>
      <c r="I414" s="47"/>
      <c r="J414" s="2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5"/>
      <c r="C415" s="5"/>
      <c r="D415" s="5"/>
      <c r="E415" s="20"/>
      <c r="F415" s="20"/>
      <c r="G415" s="20"/>
      <c r="H415" s="20"/>
      <c r="I415" s="47"/>
      <c r="J415" s="2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5"/>
      <c r="C416" s="5"/>
      <c r="D416" s="5"/>
      <c r="E416" s="20"/>
      <c r="F416" s="20"/>
      <c r="G416" s="20"/>
      <c r="H416" s="20"/>
      <c r="I416" s="47"/>
      <c r="J416" s="2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5"/>
      <c r="C417" s="5"/>
      <c r="D417" s="5"/>
      <c r="E417" s="20"/>
      <c r="F417" s="20"/>
      <c r="G417" s="20"/>
      <c r="H417" s="20"/>
      <c r="I417" s="47"/>
      <c r="J417" s="2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5"/>
      <c r="C418" s="5"/>
      <c r="D418" s="5"/>
      <c r="E418" s="20"/>
      <c r="F418" s="20"/>
      <c r="G418" s="20"/>
      <c r="H418" s="20"/>
      <c r="I418" s="47"/>
      <c r="J418" s="2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5"/>
      <c r="C419" s="5"/>
      <c r="D419" s="5"/>
      <c r="E419" s="20"/>
      <c r="F419" s="20"/>
      <c r="G419" s="20"/>
      <c r="H419" s="20"/>
      <c r="I419" s="47"/>
      <c r="J419" s="2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5"/>
      <c r="C420" s="5"/>
      <c r="D420" s="5"/>
      <c r="E420" s="20"/>
      <c r="F420" s="20"/>
      <c r="G420" s="20"/>
      <c r="H420" s="20"/>
      <c r="I420" s="47"/>
      <c r="J420" s="2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5"/>
      <c r="C421" s="5"/>
      <c r="D421" s="5"/>
      <c r="E421" s="20"/>
      <c r="F421" s="20"/>
      <c r="G421" s="20"/>
      <c r="H421" s="20"/>
      <c r="I421" s="47"/>
      <c r="J421" s="2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5"/>
      <c r="C422" s="5"/>
      <c r="D422" s="5"/>
      <c r="E422" s="20"/>
      <c r="F422" s="20"/>
      <c r="G422" s="20"/>
      <c r="H422" s="20"/>
      <c r="I422" s="47"/>
      <c r="J422" s="2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5"/>
      <c r="C423" s="5"/>
      <c r="D423" s="5"/>
      <c r="E423" s="20"/>
      <c r="F423" s="20"/>
      <c r="G423" s="20"/>
      <c r="H423" s="20"/>
      <c r="I423" s="47"/>
      <c r="J423" s="2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5"/>
      <c r="C424" s="5"/>
      <c r="D424" s="5"/>
      <c r="E424" s="20"/>
      <c r="F424" s="20"/>
      <c r="G424" s="20"/>
      <c r="H424" s="20"/>
      <c r="I424" s="47"/>
      <c r="J424" s="2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5"/>
      <c r="C425" s="5"/>
      <c r="D425" s="5"/>
      <c r="E425" s="20"/>
      <c r="F425" s="20"/>
      <c r="G425" s="20"/>
      <c r="H425" s="20"/>
      <c r="I425" s="47"/>
      <c r="J425" s="2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5"/>
      <c r="C426" s="5"/>
      <c r="D426" s="5"/>
      <c r="E426" s="20"/>
      <c r="F426" s="20"/>
      <c r="G426" s="20"/>
      <c r="H426" s="20"/>
      <c r="I426" s="47"/>
      <c r="J426" s="2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5"/>
      <c r="C427" s="5"/>
      <c r="D427" s="5"/>
      <c r="E427" s="20"/>
      <c r="F427" s="20"/>
      <c r="G427" s="20"/>
      <c r="H427" s="20"/>
      <c r="I427" s="47"/>
      <c r="J427" s="2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5"/>
      <c r="C428" s="5"/>
      <c r="D428" s="5"/>
      <c r="E428" s="20"/>
      <c r="F428" s="20"/>
      <c r="G428" s="20"/>
      <c r="H428" s="20"/>
      <c r="I428" s="47"/>
      <c r="J428" s="2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5"/>
      <c r="C429" s="5"/>
      <c r="D429" s="5"/>
      <c r="E429" s="20"/>
      <c r="F429" s="20"/>
      <c r="G429" s="20"/>
      <c r="H429" s="20"/>
      <c r="I429" s="47"/>
      <c r="J429" s="2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5"/>
      <c r="C430" s="5"/>
      <c r="D430" s="5"/>
      <c r="E430" s="20"/>
      <c r="F430" s="20"/>
      <c r="G430" s="20"/>
      <c r="H430" s="20"/>
      <c r="I430" s="47"/>
      <c r="J430" s="2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5"/>
      <c r="C431" s="5"/>
      <c r="D431" s="5"/>
      <c r="E431" s="20"/>
      <c r="F431" s="20"/>
      <c r="G431" s="20"/>
      <c r="H431" s="20"/>
      <c r="I431" s="47"/>
      <c r="J431" s="2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5"/>
      <c r="C432" s="5"/>
      <c r="D432" s="5"/>
      <c r="E432" s="20"/>
      <c r="F432" s="20"/>
      <c r="G432" s="20"/>
      <c r="H432" s="20"/>
      <c r="I432" s="47"/>
      <c r="J432" s="2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5"/>
      <c r="C433" s="5"/>
      <c r="D433" s="5"/>
      <c r="E433" s="20"/>
      <c r="F433" s="20"/>
      <c r="G433" s="20"/>
      <c r="H433" s="20"/>
      <c r="I433" s="47"/>
      <c r="J433" s="2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5"/>
      <c r="C434" s="5"/>
      <c r="D434" s="5"/>
      <c r="E434" s="20"/>
      <c r="F434" s="20"/>
      <c r="G434" s="20"/>
      <c r="H434" s="20"/>
      <c r="I434" s="47"/>
      <c r="J434" s="2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5"/>
      <c r="C435" s="5"/>
      <c r="D435" s="5"/>
      <c r="E435" s="20"/>
      <c r="F435" s="20"/>
      <c r="G435" s="20"/>
      <c r="H435" s="20"/>
      <c r="I435" s="47"/>
      <c r="J435" s="2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5"/>
      <c r="C436" s="5"/>
      <c r="D436" s="5"/>
      <c r="E436" s="20"/>
      <c r="F436" s="20"/>
      <c r="G436" s="20"/>
      <c r="H436" s="20"/>
      <c r="I436" s="47"/>
      <c r="J436" s="2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5"/>
      <c r="C437" s="5"/>
      <c r="D437" s="5"/>
      <c r="E437" s="20"/>
      <c r="F437" s="20"/>
      <c r="G437" s="20"/>
      <c r="H437" s="20"/>
      <c r="I437" s="47"/>
      <c r="J437" s="2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5"/>
      <c r="C438" s="5"/>
      <c r="D438" s="5"/>
      <c r="E438" s="20"/>
      <c r="F438" s="20"/>
      <c r="G438" s="20"/>
      <c r="H438" s="20"/>
      <c r="I438" s="47"/>
      <c r="J438" s="2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5"/>
      <c r="C439" s="5"/>
      <c r="D439" s="5"/>
      <c r="E439" s="20"/>
      <c r="F439" s="20"/>
      <c r="G439" s="20"/>
      <c r="H439" s="20"/>
      <c r="I439" s="47"/>
      <c r="J439" s="2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5"/>
      <c r="C440" s="5"/>
      <c r="D440" s="5"/>
      <c r="E440" s="20"/>
      <c r="F440" s="20"/>
      <c r="G440" s="20"/>
      <c r="H440" s="20"/>
      <c r="I440" s="47"/>
      <c r="J440" s="2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5"/>
      <c r="C441" s="5"/>
      <c r="D441" s="5"/>
      <c r="E441" s="20"/>
      <c r="F441" s="20"/>
      <c r="G441" s="20"/>
      <c r="H441" s="20"/>
      <c r="I441" s="47"/>
      <c r="J441" s="2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5"/>
      <c r="C442" s="5"/>
      <c r="D442" s="5"/>
      <c r="E442" s="20"/>
      <c r="F442" s="20"/>
      <c r="G442" s="20"/>
      <c r="H442" s="20"/>
      <c r="I442" s="47"/>
      <c r="J442" s="2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5"/>
      <c r="C443" s="5"/>
      <c r="D443" s="5"/>
      <c r="E443" s="20"/>
      <c r="F443" s="20"/>
      <c r="G443" s="20"/>
      <c r="H443" s="20"/>
      <c r="I443" s="47"/>
      <c r="J443" s="2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5"/>
      <c r="C444" s="5"/>
      <c r="D444" s="5"/>
      <c r="E444" s="20"/>
      <c r="F444" s="20"/>
      <c r="G444" s="20"/>
      <c r="H444" s="20"/>
      <c r="I444" s="47"/>
      <c r="J444" s="2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5"/>
      <c r="C445" s="5"/>
      <c r="D445" s="5"/>
      <c r="E445" s="20"/>
      <c r="F445" s="20"/>
      <c r="G445" s="20"/>
      <c r="H445" s="20"/>
      <c r="I445" s="47"/>
      <c r="J445" s="2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5"/>
      <c r="C446" s="5"/>
      <c r="D446" s="5"/>
      <c r="E446" s="20"/>
      <c r="F446" s="20"/>
      <c r="G446" s="20"/>
      <c r="H446" s="20"/>
      <c r="I446" s="47"/>
      <c r="J446" s="2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5"/>
      <c r="C447" s="5"/>
      <c r="D447" s="5"/>
      <c r="E447" s="20"/>
      <c r="F447" s="20"/>
      <c r="G447" s="20"/>
      <c r="H447" s="20"/>
      <c r="I447" s="47"/>
      <c r="J447" s="2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5"/>
      <c r="C448" s="5"/>
      <c r="D448" s="5"/>
      <c r="E448" s="20"/>
      <c r="F448" s="20"/>
      <c r="G448" s="20"/>
      <c r="H448" s="20"/>
      <c r="I448" s="47"/>
      <c r="J448" s="2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5"/>
      <c r="C449" s="5"/>
      <c r="D449" s="5"/>
      <c r="E449" s="20"/>
      <c r="F449" s="20"/>
      <c r="G449" s="20"/>
      <c r="H449" s="20"/>
      <c r="I449" s="47"/>
      <c r="J449" s="2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5"/>
      <c r="C450" s="5"/>
      <c r="D450" s="5"/>
      <c r="E450" s="20"/>
      <c r="F450" s="20"/>
      <c r="G450" s="20"/>
      <c r="H450" s="20"/>
      <c r="I450" s="47"/>
      <c r="J450" s="2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5"/>
      <c r="C451" s="5"/>
      <c r="D451" s="5"/>
      <c r="E451" s="20"/>
      <c r="F451" s="20"/>
      <c r="G451" s="20"/>
      <c r="H451" s="20"/>
      <c r="I451" s="47"/>
      <c r="J451" s="2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5"/>
      <c r="C452" s="5"/>
      <c r="D452" s="5"/>
      <c r="E452" s="20"/>
      <c r="F452" s="20"/>
      <c r="G452" s="20"/>
      <c r="H452" s="20"/>
      <c r="I452" s="47"/>
      <c r="J452" s="2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5"/>
      <c r="C453" s="5"/>
      <c r="D453" s="5"/>
      <c r="E453" s="20"/>
      <c r="F453" s="20"/>
      <c r="G453" s="20"/>
      <c r="H453" s="20"/>
      <c r="I453" s="47"/>
      <c r="J453" s="2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5"/>
      <c r="C454" s="5"/>
      <c r="D454" s="5"/>
      <c r="E454" s="20"/>
      <c r="F454" s="20"/>
      <c r="G454" s="20"/>
      <c r="H454" s="20"/>
      <c r="I454" s="47"/>
      <c r="J454" s="2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5"/>
      <c r="C455" s="5"/>
      <c r="D455" s="5"/>
      <c r="E455" s="20"/>
      <c r="F455" s="20"/>
      <c r="G455" s="20"/>
      <c r="H455" s="20"/>
      <c r="I455" s="47"/>
      <c r="J455" s="2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5"/>
      <c r="C456" s="5"/>
      <c r="D456" s="5"/>
      <c r="E456" s="20"/>
      <c r="F456" s="20"/>
      <c r="G456" s="20"/>
      <c r="H456" s="20"/>
      <c r="I456" s="47"/>
      <c r="J456" s="2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5"/>
      <c r="C457" s="5"/>
      <c r="D457" s="5"/>
      <c r="E457" s="20"/>
      <c r="F457" s="20"/>
      <c r="G457" s="20"/>
      <c r="H457" s="20"/>
      <c r="I457" s="47"/>
      <c r="J457" s="2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5"/>
      <c r="C458" s="5"/>
      <c r="D458" s="5"/>
      <c r="E458" s="20"/>
      <c r="F458" s="20"/>
      <c r="G458" s="20"/>
      <c r="H458" s="20"/>
      <c r="I458" s="47"/>
      <c r="J458" s="2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5"/>
      <c r="C459" s="5"/>
      <c r="D459" s="5"/>
      <c r="E459" s="20"/>
      <c r="F459" s="20"/>
      <c r="G459" s="20"/>
      <c r="H459" s="20"/>
      <c r="I459" s="47"/>
      <c r="J459" s="2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5"/>
      <c r="C460" s="5"/>
      <c r="D460" s="5"/>
      <c r="E460" s="20"/>
      <c r="F460" s="20"/>
      <c r="G460" s="20"/>
      <c r="H460" s="20"/>
      <c r="I460" s="47"/>
      <c r="J460" s="2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5"/>
      <c r="C461" s="5"/>
      <c r="D461" s="5"/>
      <c r="E461" s="20"/>
      <c r="F461" s="20"/>
      <c r="G461" s="20"/>
      <c r="H461" s="20"/>
      <c r="I461" s="47"/>
      <c r="J461" s="2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5"/>
      <c r="C462" s="5"/>
      <c r="D462" s="5"/>
      <c r="E462" s="20"/>
      <c r="F462" s="20"/>
      <c r="G462" s="20"/>
      <c r="H462" s="20"/>
      <c r="I462" s="47"/>
      <c r="J462" s="2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5"/>
      <c r="C463" s="5"/>
      <c r="D463" s="5"/>
      <c r="E463" s="20"/>
      <c r="F463" s="20"/>
      <c r="G463" s="20"/>
      <c r="H463" s="20"/>
      <c r="I463" s="47"/>
      <c r="J463" s="2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5"/>
      <c r="C464" s="5"/>
      <c r="D464" s="5"/>
      <c r="E464" s="20"/>
      <c r="F464" s="20"/>
      <c r="G464" s="20"/>
      <c r="H464" s="20"/>
      <c r="I464" s="47"/>
      <c r="J464" s="2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5"/>
      <c r="C465" s="5"/>
      <c r="D465" s="5"/>
      <c r="E465" s="20"/>
      <c r="F465" s="20"/>
      <c r="G465" s="20"/>
      <c r="H465" s="20"/>
      <c r="I465" s="47"/>
      <c r="J465" s="2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5"/>
      <c r="C466" s="5"/>
      <c r="D466" s="5"/>
      <c r="E466" s="20"/>
      <c r="F466" s="20"/>
      <c r="G466" s="20"/>
      <c r="H466" s="20"/>
      <c r="I466" s="47"/>
      <c r="J466" s="2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5"/>
      <c r="C467" s="5"/>
      <c r="D467" s="5"/>
      <c r="E467" s="20"/>
      <c r="F467" s="20"/>
      <c r="G467" s="20"/>
      <c r="H467" s="20"/>
      <c r="I467" s="47"/>
      <c r="J467" s="2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5"/>
      <c r="C468" s="5"/>
      <c r="D468" s="5"/>
      <c r="E468" s="20"/>
      <c r="F468" s="20"/>
      <c r="G468" s="20"/>
      <c r="H468" s="20"/>
      <c r="I468" s="47"/>
      <c r="J468" s="2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5"/>
      <c r="C469" s="5"/>
      <c r="D469" s="5"/>
      <c r="E469" s="20"/>
      <c r="F469" s="20"/>
      <c r="G469" s="20"/>
      <c r="H469" s="20"/>
      <c r="I469" s="47"/>
      <c r="J469" s="2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5"/>
      <c r="C470" s="5"/>
      <c r="D470" s="5"/>
      <c r="E470" s="20"/>
      <c r="F470" s="20"/>
      <c r="G470" s="20"/>
      <c r="H470" s="20"/>
      <c r="I470" s="47"/>
      <c r="J470" s="2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5"/>
      <c r="C471" s="5"/>
      <c r="D471" s="5"/>
      <c r="E471" s="20"/>
      <c r="F471" s="20"/>
      <c r="G471" s="20"/>
      <c r="H471" s="20"/>
      <c r="I471" s="47"/>
      <c r="J471" s="2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5"/>
      <c r="C472" s="5"/>
      <c r="D472" s="5"/>
      <c r="E472" s="20"/>
      <c r="F472" s="20"/>
      <c r="G472" s="20"/>
      <c r="H472" s="20"/>
      <c r="I472" s="47"/>
      <c r="J472" s="2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5"/>
      <c r="C473" s="5"/>
      <c r="D473" s="5"/>
      <c r="E473" s="20"/>
      <c r="F473" s="20"/>
      <c r="G473" s="20"/>
      <c r="H473" s="20"/>
      <c r="I473" s="47"/>
      <c r="J473" s="2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5"/>
      <c r="C474" s="5"/>
      <c r="D474" s="5"/>
      <c r="E474" s="20"/>
      <c r="F474" s="20"/>
      <c r="G474" s="20"/>
      <c r="H474" s="20"/>
      <c r="I474" s="47"/>
      <c r="J474" s="2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5"/>
      <c r="C475" s="5"/>
      <c r="D475" s="5"/>
      <c r="E475" s="20"/>
      <c r="F475" s="20"/>
      <c r="G475" s="20"/>
      <c r="H475" s="20"/>
      <c r="I475" s="47"/>
      <c r="J475" s="2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5"/>
      <c r="C476" s="5"/>
      <c r="D476" s="5"/>
      <c r="E476" s="20"/>
      <c r="F476" s="20"/>
      <c r="G476" s="20"/>
      <c r="H476" s="20"/>
      <c r="I476" s="47"/>
      <c r="J476" s="2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5"/>
      <c r="C477" s="5"/>
      <c r="D477" s="5"/>
      <c r="E477" s="20"/>
      <c r="F477" s="20"/>
      <c r="G477" s="20"/>
      <c r="H477" s="20"/>
      <c r="I477" s="47"/>
      <c r="J477" s="2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5"/>
      <c r="C478" s="5"/>
      <c r="D478" s="5"/>
      <c r="E478" s="20"/>
      <c r="F478" s="20"/>
      <c r="G478" s="20"/>
      <c r="H478" s="20"/>
      <c r="I478" s="47"/>
      <c r="J478" s="2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5"/>
      <c r="C479" s="5"/>
      <c r="D479" s="5"/>
      <c r="E479" s="20"/>
      <c r="F479" s="20"/>
      <c r="G479" s="20"/>
      <c r="H479" s="20"/>
      <c r="I479" s="47"/>
      <c r="J479" s="2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5"/>
      <c r="C480" s="5"/>
      <c r="D480" s="5"/>
      <c r="E480" s="20"/>
      <c r="F480" s="20"/>
      <c r="G480" s="20"/>
      <c r="H480" s="20"/>
      <c r="I480" s="47"/>
      <c r="J480" s="2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5"/>
      <c r="C481" s="5"/>
      <c r="D481" s="5"/>
      <c r="E481" s="20"/>
      <c r="F481" s="20"/>
      <c r="G481" s="20"/>
      <c r="H481" s="20"/>
      <c r="I481" s="47"/>
      <c r="J481" s="2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5"/>
      <c r="C482" s="5"/>
      <c r="D482" s="5"/>
      <c r="E482" s="20"/>
      <c r="F482" s="20"/>
      <c r="G482" s="20"/>
      <c r="H482" s="20"/>
      <c r="I482" s="47"/>
      <c r="J482" s="2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5"/>
      <c r="C483" s="5"/>
      <c r="D483" s="5"/>
      <c r="E483" s="20"/>
      <c r="F483" s="20"/>
      <c r="G483" s="20"/>
      <c r="H483" s="20"/>
      <c r="I483" s="47"/>
      <c r="J483" s="2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5"/>
      <c r="C484" s="5"/>
      <c r="D484" s="5"/>
      <c r="E484" s="20"/>
      <c r="F484" s="20"/>
      <c r="G484" s="20"/>
      <c r="H484" s="20"/>
      <c r="I484" s="47"/>
      <c r="J484" s="2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5"/>
      <c r="C485" s="5"/>
      <c r="D485" s="5"/>
      <c r="E485" s="20"/>
      <c r="F485" s="20"/>
      <c r="G485" s="20"/>
      <c r="H485" s="20"/>
      <c r="I485" s="47"/>
      <c r="J485" s="2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5"/>
      <c r="C486" s="5"/>
      <c r="D486" s="5"/>
      <c r="E486" s="20"/>
      <c r="F486" s="20"/>
      <c r="G486" s="20"/>
      <c r="H486" s="20"/>
      <c r="I486" s="47"/>
      <c r="J486" s="2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5"/>
      <c r="C487" s="5"/>
      <c r="D487" s="5"/>
      <c r="E487" s="20"/>
      <c r="F487" s="20"/>
      <c r="G487" s="20"/>
      <c r="H487" s="20"/>
      <c r="I487" s="47"/>
      <c r="J487" s="2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5"/>
      <c r="C488" s="5"/>
      <c r="D488" s="5"/>
      <c r="E488" s="20"/>
      <c r="F488" s="20"/>
      <c r="G488" s="20"/>
      <c r="H488" s="20"/>
      <c r="I488" s="47"/>
      <c r="J488" s="2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5"/>
      <c r="C489" s="5"/>
      <c r="D489" s="5"/>
      <c r="E489" s="20"/>
      <c r="F489" s="20"/>
      <c r="G489" s="20"/>
      <c r="H489" s="20"/>
      <c r="I489" s="47"/>
      <c r="J489" s="2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5"/>
      <c r="C490" s="5"/>
      <c r="D490" s="5"/>
      <c r="E490" s="20"/>
      <c r="F490" s="20"/>
      <c r="G490" s="20"/>
      <c r="H490" s="20"/>
      <c r="I490" s="47"/>
      <c r="J490" s="2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5"/>
      <c r="C491" s="5"/>
      <c r="D491" s="5"/>
      <c r="E491" s="20"/>
      <c r="F491" s="20"/>
      <c r="G491" s="20"/>
      <c r="H491" s="20"/>
      <c r="I491" s="47"/>
      <c r="J491" s="2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5"/>
      <c r="C492" s="5"/>
      <c r="D492" s="5"/>
      <c r="E492" s="20"/>
      <c r="F492" s="20"/>
      <c r="G492" s="20"/>
      <c r="H492" s="20"/>
      <c r="I492" s="47"/>
      <c r="J492" s="2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5"/>
      <c r="C493" s="5"/>
      <c r="D493" s="5"/>
      <c r="E493" s="20"/>
      <c r="F493" s="20"/>
      <c r="G493" s="20"/>
      <c r="H493" s="20"/>
      <c r="I493" s="47"/>
      <c r="J493" s="2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5"/>
      <c r="C494" s="5"/>
      <c r="D494" s="5"/>
      <c r="E494" s="20"/>
      <c r="F494" s="20"/>
      <c r="G494" s="20"/>
      <c r="H494" s="20"/>
      <c r="I494" s="47"/>
      <c r="J494" s="2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5"/>
      <c r="C495" s="5"/>
      <c r="D495" s="5"/>
      <c r="E495" s="20"/>
      <c r="F495" s="20"/>
      <c r="G495" s="20"/>
      <c r="H495" s="20"/>
      <c r="I495" s="47"/>
      <c r="J495" s="2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5"/>
      <c r="C496" s="5"/>
      <c r="D496" s="5"/>
      <c r="E496" s="20"/>
      <c r="F496" s="20"/>
      <c r="G496" s="20"/>
      <c r="H496" s="20"/>
      <c r="I496" s="47"/>
      <c r="J496" s="2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5"/>
      <c r="C497" s="5"/>
      <c r="D497" s="5"/>
      <c r="E497" s="20"/>
      <c r="F497" s="20"/>
      <c r="G497" s="20"/>
      <c r="H497" s="20"/>
      <c r="I497" s="47"/>
      <c r="J497" s="2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5"/>
      <c r="C498" s="5"/>
      <c r="D498" s="5"/>
      <c r="E498" s="20"/>
      <c r="F498" s="20"/>
      <c r="G498" s="20"/>
      <c r="H498" s="20"/>
      <c r="I498" s="47"/>
      <c r="J498" s="2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5"/>
      <c r="C499" s="5"/>
      <c r="D499" s="5"/>
      <c r="E499" s="20"/>
      <c r="F499" s="20"/>
      <c r="G499" s="20"/>
      <c r="H499" s="20"/>
      <c r="I499" s="47"/>
      <c r="J499" s="2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5"/>
      <c r="C500" s="5"/>
      <c r="D500" s="5"/>
      <c r="E500" s="20"/>
      <c r="F500" s="20"/>
      <c r="G500" s="20"/>
      <c r="H500" s="20"/>
      <c r="I500" s="47"/>
      <c r="J500" s="2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5"/>
      <c r="C501" s="5"/>
      <c r="D501" s="5"/>
      <c r="E501" s="20"/>
      <c r="F501" s="20"/>
      <c r="G501" s="20"/>
      <c r="H501" s="20"/>
      <c r="I501" s="47"/>
      <c r="J501" s="2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5"/>
      <c r="C502" s="5"/>
      <c r="D502" s="5"/>
      <c r="E502" s="20"/>
      <c r="F502" s="20"/>
      <c r="G502" s="20"/>
      <c r="H502" s="20"/>
      <c r="I502" s="47"/>
      <c r="J502" s="2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5"/>
      <c r="C503" s="5"/>
      <c r="D503" s="5"/>
      <c r="E503" s="20"/>
      <c r="F503" s="20"/>
      <c r="G503" s="20"/>
      <c r="H503" s="20"/>
      <c r="I503" s="47"/>
      <c r="J503" s="2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5"/>
      <c r="C504" s="5"/>
      <c r="D504" s="5"/>
      <c r="E504" s="20"/>
      <c r="F504" s="20"/>
      <c r="G504" s="20"/>
      <c r="H504" s="20"/>
      <c r="I504" s="47"/>
      <c r="J504" s="2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5"/>
      <c r="C505" s="5"/>
      <c r="D505" s="5"/>
      <c r="E505" s="20"/>
      <c r="F505" s="20"/>
      <c r="G505" s="20"/>
      <c r="H505" s="20"/>
      <c r="I505" s="47"/>
      <c r="J505" s="2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5"/>
      <c r="C506" s="5"/>
      <c r="D506" s="5"/>
      <c r="E506" s="20"/>
      <c r="F506" s="20"/>
      <c r="G506" s="20"/>
      <c r="H506" s="20"/>
      <c r="I506" s="47"/>
      <c r="J506" s="2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5"/>
      <c r="C507" s="5"/>
      <c r="D507" s="5"/>
      <c r="E507" s="20"/>
      <c r="F507" s="20"/>
      <c r="G507" s="20"/>
      <c r="H507" s="20"/>
      <c r="I507" s="47"/>
      <c r="J507" s="2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5"/>
      <c r="C508" s="5"/>
      <c r="D508" s="5"/>
      <c r="E508" s="20"/>
      <c r="F508" s="20"/>
      <c r="G508" s="20"/>
      <c r="H508" s="20"/>
      <c r="I508" s="47"/>
      <c r="J508" s="2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5"/>
      <c r="C509" s="5"/>
      <c r="D509" s="5"/>
      <c r="E509" s="20"/>
      <c r="F509" s="20"/>
      <c r="G509" s="20"/>
      <c r="H509" s="20"/>
      <c r="I509" s="47"/>
      <c r="J509" s="2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5"/>
      <c r="C510" s="5"/>
      <c r="D510" s="5"/>
      <c r="E510" s="20"/>
      <c r="F510" s="20"/>
      <c r="G510" s="20"/>
      <c r="H510" s="20"/>
      <c r="I510" s="47"/>
      <c r="J510" s="2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5"/>
      <c r="C511" s="5"/>
      <c r="D511" s="5"/>
      <c r="E511" s="20"/>
      <c r="F511" s="20"/>
      <c r="G511" s="20"/>
      <c r="H511" s="20"/>
      <c r="I511" s="47"/>
      <c r="J511" s="2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5"/>
      <c r="C512" s="5"/>
      <c r="D512" s="5"/>
      <c r="E512" s="20"/>
      <c r="F512" s="20"/>
      <c r="G512" s="20"/>
      <c r="H512" s="20"/>
      <c r="I512" s="47"/>
      <c r="J512" s="2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5"/>
      <c r="C513" s="5"/>
      <c r="D513" s="5"/>
      <c r="E513" s="20"/>
      <c r="F513" s="20"/>
      <c r="G513" s="20"/>
      <c r="H513" s="20"/>
      <c r="I513" s="47"/>
      <c r="J513" s="2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5"/>
      <c r="C514" s="5"/>
      <c r="D514" s="5"/>
      <c r="E514" s="20"/>
      <c r="F514" s="20"/>
      <c r="G514" s="20"/>
      <c r="H514" s="20"/>
      <c r="I514" s="47"/>
      <c r="J514" s="2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5"/>
      <c r="C515" s="5"/>
      <c r="D515" s="5"/>
      <c r="E515" s="20"/>
      <c r="F515" s="20"/>
      <c r="G515" s="20"/>
      <c r="H515" s="20"/>
      <c r="I515" s="47"/>
      <c r="J515" s="2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5"/>
      <c r="C516" s="5"/>
      <c r="D516" s="5"/>
      <c r="E516" s="20"/>
      <c r="F516" s="20"/>
      <c r="G516" s="20"/>
      <c r="H516" s="20"/>
      <c r="I516" s="47"/>
      <c r="J516" s="2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5"/>
      <c r="C517" s="5"/>
      <c r="D517" s="5"/>
      <c r="E517" s="20"/>
      <c r="F517" s="20"/>
      <c r="G517" s="20"/>
      <c r="H517" s="20"/>
      <c r="I517" s="47"/>
      <c r="J517" s="2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5"/>
      <c r="C518" s="5"/>
      <c r="D518" s="5"/>
      <c r="E518" s="20"/>
      <c r="F518" s="20"/>
      <c r="G518" s="20"/>
      <c r="H518" s="20"/>
      <c r="I518" s="47"/>
      <c r="J518" s="2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5"/>
      <c r="C519" s="5"/>
      <c r="D519" s="5"/>
      <c r="E519" s="20"/>
      <c r="F519" s="20"/>
      <c r="G519" s="20"/>
      <c r="H519" s="20"/>
      <c r="I519" s="47"/>
      <c r="J519" s="2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5"/>
      <c r="C520" s="5"/>
      <c r="D520" s="5"/>
      <c r="E520" s="20"/>
      <c r="F520" s="20"/>
      <c r="G520" s="20"/>
      <c r="H520" s="20"/>
      <c r="I520" s="47"/>
      <c r="J520" s="2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5"/>
      <c r="C521" s="5"/>
      <c r="D521" s="5"/>
      <c r="E521" s="20"/>
      <c r="F521" s="20"/>
      <c r="G521" s="20"/>
      <c r="H521" s="20"/>
      <c r="I521" s="47"/>
      <c r="J521" s="2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5"/>
      <c r="C522" s="5"/>
      <c r="D522" s="5"/>
      <c r="E522" s="20"/>
      <c r="F522" s="20"/>
      <c r="G522" s="20"/>
      <c r="H522" s="20"/>
      <c r="I522" s="47"/>
      <c r="J522" s="2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5"/>
      <c r="C523" s="5"/>
      <c r="D523" s="5"/>
      <c r="E523" s="20"/>
      <c r="F523" s="20"/>
      <c r="G523" s="20"/>
      <c r="H523" s="20"/>
      <c r="I523" s="47"/>
      <c r="J523" s="2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5"/>
      <c r="C524" s="5"/>
      <c r="D524" s="5"/>
      <c r="E524" s="20"/>
      <c r="F524" s="20"/>
      <c r="G524" s="20"/>
      <c r="H524" s="20"/>
      <c r="I524" s="47"/>
      <c r="J524" s="2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5"/>
      <c r="C525" s="5"/>
      <c r="D525" s="5"/>
      <c r="E525" s="20"/>
      <c r="F525" s="20"/>
      <c r="G525" s="20"/>
      <c r="H525" s="20"/>
      <c r="I525" s="47"/>
      <c r="J525" s="2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5"/>
      <c r="C526" s="5"/>
      <c r="D526" s="5"/>
      <c r="E526" s="20"/>
      <c r="F526" s="20"/>
      <c r="G526" s="20"/>
      <c r="H526" s="20"/>
      <c r="I526" s="47"/>
      <c r="J526" s="2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5"/>
      <c r="C527" s="5"/>
      <c r="D527" s="5"/>
      <c r="E527" s="20"/>
      <c r="F527" s="20"/>
      <c r="G527" s="20"/>
      <c r="H527" s="20"/>
      <c r="I527" s="47"/>
      <c r="J527" s="2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5"/>
      <c r="C528" s="5"/>
      <c r="D528" s="5"/>
      <c r="E528" s="20"/>
      <c r="F528" s="20"/>
      <c r="G528" s="20"/>
      <c r="H528" s="20"/>
      <c r="I528" s="47"/>
      <c r="J528" s="2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5"/>
      <c r="C529" s="5"/>
      <c r="D529" s="5"/>
      <c r="E529" s="20"/>
      <c r="F529" s="20"/>
      <c r="G529" s="20"/>
      <c r="H529" s="20"/>
      <c r="I529" s="47"/>
      <c r="J529" s="2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5"/>
      <c r="C530" s="5"/>
      <c r="D530" s="5"/>
      <c r="E530" s="20"/>
      <c r="F530" s="20"/>
      <c r="G530" s="20"/>
      <c r="H530" s="20"/>
      <c r="I530" s="47"/>
      <c r="J530" s="2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5"/>
      <c r="C531" s="5"/>
      <c r="D531" s="5"/>
      <c r="E531" s="20"/>
      <c r="F531" s="20"/>
      <c r="G531" s="20"/>
      <c r="H531" s="20"/>
      <c r="I531" s="47"/>
      <c r="J531" s="2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5"/>
      <c r="C532" s="5"/>
      <c r="D532" s="5"/>
      <c r="E532" s="20"/>
      <c r="F532" s="20"/>
      <c r="G532" s="20"/>
      <c r="H532" s="20"/>
      <c r="I532" s="47"/>
      <c r="J532" s="2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5"/>
      <c r="C533" s="5"/>
      <c r="D533" s="5"/>
      <c r="E533" s="20"/>
      <c r="F533" s="20"/>
      <c r="G533" s="20"/>
      <c r="H533" s="20"/>
      <c r="I533" s="47"/>
      <c r="J533" s="2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5"/>
      <c r="C534" s="5"/>
      <c r="D534" s="5"/>
      <c r="E534" s="20"/>
      <c r="F534" s="20"/>
      <c r="G534" s="20"/>
      <c r="H534" s="20"/>
      <c r="I534" s="47"/>
      <c r="J534" s="2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5"/>
      <c r="C535" s="5"/>
      <c r="D535" s="5"/>
      <c r="E535" s="20"/>
      <c r="F535" s="20"/>
      <c r="G535" s="20"/>
      <c r="H535" s="20"/>
      <c r="I535" s="47"/>
      <c r="J535" s="2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5"/>
      <c r="C536" s="5"/>
      <c r="D536" s="5"/>
      <c r="E536" s="20"/>
      <c r="F536" s="20"/>
      <c r="G536" s="20"/>
      <c r="H536" s="20"/>
      <c r="I536" s="47"/>
      <c r="J536" s="2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5"/>
      <c r="C537" s="5"/>
      <c r="D537" s="5"/>
      <c r="E537" s="20"/>
      <c r="F537" s="20"/>
      <c r="G537" s="20"/>
      <c r="H537" s="20"/>
      <c r="I537" s="47"/>
      <c r="J537" s="2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5"/>
      <c r="C538" s="5"/>
      <c r="D538" s="5"/>
      <c r="E538" s="20"/>
      <c r="F538" s="20"/>
      <c r="G538" s="20"/>
      <c r="H538" s="20"/>
      <c r="I538" s="47"/>
      <c r="J538" s="2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5"/>
      <c r="C539" s="5"/>
      <c r="D539" s="5"/>
      <c r="E539" s="20"/>
      <c r="F539" s="20"/>
      <c r="G539" s="20"/>
      <c r="H539" s="20"/>
      <c r="I539" s="47"/>
      <c r="J539" s="2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5"/>
      <c r="C540" s="5"/>
      <c r="D540" s="5"/>
      <c r="E540" s="20"/>
      <c r="F540" s="20"/>
      <c r="G540" s="20"/>
      <c r="H540" s="20"/>
      <c r="I540" s="47"/>
      <c r="J540" s="2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5"/>
      <c r="C541" s="5"/>
      <c r="D541" s="5"/>
      <c r="E541" s="20"/>
      <c r="F541" s="20"/>
      <c r="G541" s="20"/>
      <c r="H541" s="20"/>
      <c r="I541" s="47"/>
      <c r="J541" s="2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5"/>
      <c r="C542" s="5"/>
      <c r="D542" s="5"/>
      <c r="E542" s="20"/>
      <c r="F542" s="20"/>
      <c r="G542" s="20"/>
      <c r="H542" s="20"/>
      <c r="I542" s="47"/>
      <c r="J542" s="2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5"/>
      <c r="C543" s="5"/>
      <c r="D543" s="5"/>
      <c r="E543" s="20"/>
      <c r="F543" s="20"/>
      <c r="G543" s="20"/>
      <c r="H543" s="20"/>
      <c r="I543" s="47"/>
      <c r="J543" s="2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5"/>
      <c r="C544" s="5"/>
      <c r="D544" s="5"/>
      <c r="E544" s="20"/>
      <c r="F544" s="20"/>
      <c r="G544" s="20"/>
      <c r="H544" s="20"/>
      <c r="I544" s="47"/>
      <c r="J544" s="2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5"/>
      <c r="C545" s="5"/>
      <c r="D545" s="5"/>
      <c r="E545" s="20"/>
      <c r="F545" s="20"/>
      <c r="G545" s="20"/>
      <c r="H545" s="20"/>
      <c r="I545" s="47"/>
      <c r="J545" s="2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5"/>
      <c r="C546" s="5"/>
      <c r="D546" s="5"/>
      <c r="E546" s="20"/>
      <c r="F546" s="20"/>
      <c r="G546" s="20"/>
      <c r="H546" s="20"/>
      <c r="I546" s="47"/>
      <c r="J546" s="2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5"/>
      <c r="C547" s="5"/>
      <c r="D547" s="5"/>
      <c r="E547" s="20"/>
      <c r="F547" s="20"/>
      <c r="G547" s="20"/>
      <c r="H547" s="20"/>
      <c r="I547" s="47"/>
      <c r="J547" s="2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5"/>
      <c r="C548" s="5"/>
      <c r="D548" s="5"/>
      <c r="E548" s="20"/>
      <c r="F548" s="20"/>
      <c r="G548" s="20"/>
      <c r="H548" s="20"/>
      <c r="I548" s="47"/>
      <c r="J548" s="2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5"/>
      <c r="C549" s="5"/>
      <c r="D549" s="5"/>
      <c r="E549" s="20"/>
      <c r="F549" s="20"/>
      <c r="G549" s="20"/>
      <c r="H549" s="20"/>
      <c r="I549" s="47"/>
      <c r="J549" s="2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5"/>
      <c r="C550" s="5"/>
      <c r="D550" s="5"/>
      <c r="E550" s="20"/>
      <c r="F550" s="20"/>
      <c r="G550" s="20"/>
      <c r="H550" s="20"/>
      <c r="I550" s="47"/>
      <c r="J550" s="2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5"/>
      <c r="C551" s="5"/>
      <c r="D551" s="5"/>
      <c r="E551" s="20"/>
      <c r="F551" s="20"/>
      <c r="G551" s="20"/>
      <c r="H551" s="20"/>
      <c r="I551" s="47"/>
      <c r="J551" s="2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5"/>
      <c r="C552" s="5"/>
      <c r="D552" s="5"/>
      <c r="E552" s="20"/>
      <c r="F552" s="20"/>
      <c r="G552" s="20"/>
      <c r="H552" s="20"/>
      <c r="I552" s="47"/>
      <c r="J552" s="2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5"/>
      <c r="C553" s="5"/>
      <c r="D553" s="5"/>
      <c r="E553" s="20"/>
      <c r="F553" s="20"/>
      <c r="G553" s="20"/>
      <c r="H553" s="20"/>
      <c r="I553" s="47"/>
      <c r="J553" s="2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5"/>
      <c r="C554" s="5"/>
      <c r="D554" s="5"/>
      <c r="E554" s="20"/>
      <c r="F554" s="20"/>
      <c r="G554" s="20"/>
      <c r="H554" s="20"/>
      <c r="I554" s="47"/>
      <c r="J554" s="2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5"/>
      <c r="C555" s="5"/>
      <c r="D555" s="5"/>
      <c r="E555" s="20"/>
      <c r="F555" s="20"/>
      <c r="G555" s="20"/>
      <c r="H555" s="20"/>
      <c r="I555" s="47"/>
      <c r="J555" s="2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5"/>
      <c r="C556" s="5"/>
      <c r="D556" s="5"/>
      <c r="E556" s="20"/>
      <c r="F556" s="20"/>
      <c r="G556" s="20"/>
      <c r="H556" s="20"/>
      <c r="I556" s="47"/>
      <c r="J556" s="2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5"/>
      <c r="C557" s="5"/>
      <c r="D557" s="5"/>
      <c r="E557" s="20"/>
      <c r="F557" s="20"/>
      <c r="G557" s="20"/>
      <c r="H557" s="20"/>
      <c r="I557" s="47"/>
      <c r="J557" s="2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5"/>
      <c r="C558" s="5"/>
      <c r="D558" s="5"/>
      <c r="E558" s="20"/>
      <c r="F558" s="20"/>
      <c r="G558" s="20"/>
      <c r="H558" s="20"/>
      <c r="I558" s="47"/>
      <c r="J558" s="2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5"/>
      <c r="C559" s="5"/>
      <c r="D559" s="5"/>
      <c r="E559" s="20"/>
      <c r="F559" s="20"/>
      <c r="G559" s="20"/>
      <c r="H559" s="20"/>
      <c r="I559" s="47"/>
      <c r="J559" s="2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5"/>
      <c r="C560" s="5"/>
      <c r="D560" s="5"/>
      <c r="E560" s="20"/>
      <c r="F560" s="20"/>
      <c r="G560" s="20"/>
      <c r="H560" s="20"/>
      <c r="I560" s="47"/>
      <c r="J560" s="2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5"/>
      <c r="C561" s="5"/>
      <c r="D561" s="5"/>
      <c r="E561" s="20"/>
      <c r="F561" s="20"/>
      <c r="G561" s="20"/>
      <c r="H561" s="20"/>
      <c r="I561" s="47"/>
      <c r="J561" s="2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5"/>
      <c r="C562" s="5"/>
      <c r="D562" s="5"/>
      <c r="E562" s="20"/>
      <c r="F562" s="20"/>
      <c r="G562" s="20"/>
      <c r="H562" s="20"/>
      <c r="I562" s="47"/>
      <c r="J562" s="2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5"/>
      <c r="C563" s="5"/>
      <c r="D563" s="5"/>
      <c r="E563" s="20"/>
      <c r="F563" s="20"/>
      <c r="G563" s="20"/>
      <c r="H563" s="20"/>
      <c r="I563" s="47"/>
      <c r="J563" s="2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5"/>
      <c r="C564" s="5"/>
      <c r="D564" s="5"/>
      <c r="E564" s="20"/>
      <c r="F564" s="20"/>
      <c r="G564" s="20"/>
      <c r="H564" s="20"/>
      <c r="I564" s="47"/>
      <c r="J564" s="2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5"/>
      <c r="C565" s="5"/>
      <c r="D565" s="5"/>
      <c r="E565" s="20"/>
      <c r="F565" s="20"/>
      <c r="G565" s="20"/>
      <c r="H565" s="20"/>
      <c r="I565" s="47"/>
      <c r="J565" s="2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5"/>
      <c r="C566" s="5"/>
      <c r="D566" s="5"/>
      <c r="E566" s="20"/>
      <c r="F566" s="20"/>
      <c r="G566" s="20"/>
      <c r="H566" s="20"/>
      <c r="I566" s="47"/>
      <c r="J566" s="2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5"/>
      <c r="C567" s="5"/>
      <c r="D567" s="5"/>
      <c r="E567" s="20"/>
      <c r="F567" s="20"/>
      <c r="G567" s="20"/>
      <c r="H567" s="20"/>
      <c r="I567" s="47"/>
      <c r="J567" s="2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5"/>
      <c r="C568" s="5"/>
      <c r="D568" s="5"/>
      <c r="E568" s="20"/>
      <c r="F568" s="20"/>
      <c r="G568" s="20"/>
      <c r="H568" s="20"/>
      <c r="I568" s="47"/>
      <c r="J568" s="2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5"/>
      <c r="C569" s="5"/>
      <c r="D569" s="5"/>
      <c r="E569" s="20"/>
      <c r="F569" s="20"/>
      <c r="G569" s="20"/>
      <c r="H569" s="20"/>
      <c r="I569" s="47"/>
      <c r="J569" s="2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5"/>
      <c r="C570" s="5"/>
      <c r="D570" s="5"/>
      <c r="E570" s="20"/>
      <c r="F570" s="20"/>
      <c r="G570" s="20"/>
      <c r="H570" s="20"/>
      <c r="I570" s="47"/>
      <c r="J570" s="2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5"/>
      <c r="C571" s="5"/>
      <c r="D571" s="5"/>
      <c r="E571" s="20"/>
      <c r="F571" s="20"/>
      <c r="G571" s="20"/>
      <c r="H571" s="20"/>
      <c r="I571" s="47"/>
      <c r="J571" s="2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5"/>
      <c r="C572" s="5"/>
      <c r="D572" s="5"/>
      <c r="E572" s="20"/>
      <c r="F572" s="20"/>
      <c r="G572" s="20"/>
      <c r="H572" s="20"/>
      <c r="I572" s="47"/>
      <c r="J572" s="2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5"/>
      <c r="C573" s="5"/>
      <c r="D573" s="5"/>
      <c r="E573" s="20"/>
      <c r="F573" s="20"/>
      <c r="G573" s="20"/>
      <c r="H573" s="20"/>
      <c r="I573" s="47"/>
      <c r="J573" s="2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5"/>
      <c r="C574" s="5"/>
      <c r="D574" s="5"/>
      <c r="E574" s="20"/>
      <c r="F574" s="20"/>
      <c r="G574" s="20"/>
      <c r="H574" s="20"/>
      <c r="I574" s="47"/>
      <c r="J574" s="2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5"/>
      <c r="C575" s="5"/>
      <c r="D575" s="5"/>
      <c r="E575" s="20"/>
      <c r="F575" s="20"/>
      <c r="G575" s="20"/>
      <c r="H575" s="20"/>
      <c r="I575" s="47"/>
      <c r="J575" s="2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5"/>
      <c r="C576" s="5"/>
      <c r="D576" s="5"/>
      <c r="E576" s="20"/>
      <c r="F576" s="20"/>
      <c r="G576" s="20"/>
      <c r="H576" s="20"/>
      <c r="I576" s="47"/>
      <c r="J576" s="2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5"/>
      <c r="C577" s="5"/>
      <c r="D577" s="5"/>
      <c r="E577" s="20"/>
      <c r="F577" s="20"/>
      <c r="G577" s="20"/>
      <c r="H577" s="20"/>
      <c r="I577" s="47"/>
      <c r="J577" s="2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5"/>
      <c r="C578" s="5"/>
      <c r="D578" s="5"/>
      <c r="E578" s="20"/>
      <c r="F578" s="20"/>
      <c r="G578" s="20"/>
      <c r="H578" s="20"/>
      <c r="I578" s="47"/>
      <c r="J578" s="2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5"/>
      <c r="C579" s="5"/>
      <c r="D579" s="5"/>
      <c r="E579" s="20"/>
      <c r="F579" s="20"/>
      <c r="G579" s="20"/>
      <c r="H579" s="20"/>
      <c r="I579" s="47"/>
      <c r="J579" s="2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5"/>
      <c r="C580" s="5"/>
      <c r="D580" s="5"/>
      <c r="E580" s="20"/>
      <c r="F580" s="20"/>
      <c r="G580" s="20"/>
      <c r="H580" s="20"/>
      <c r="I580" s="47"/>
      <c r="J580" s="2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5"/>
      <c r="C581" s="5"/>
      <c r="D581" s="5"/>
      <c r="E581" s="20"/>
      <c r="F581" s="20"/>
      <c r="G581" s="20"/>
      <c r="H581" s="20"/>
      <c r="I581" s="47"/>
      <c r="J581" s="2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5"/>
      <c r="C582" s="5"/>
      <c r="D582" s="5"/>
      <c r="E582" s="20"/>
      <c r="F582" s="20"/>
      <c r="G582" s="20"/>
      <c r="H582" s="20"/>
      <c r="I582" s="47"/>
      <c r="J582" s="2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5"/>
      <c r="C583" s="5"/>
      <c r="D583" s="5"/>
      <c r="E583" s="20"/>
      <c r="F583" s="20"/>
      <c r="G583" s="20"/>
      <c r="H583" s="20"/>
      <c r="I583" s="47"/>
      <c r="J583" s="2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5"/>
      <c r="C584" s="5"/>
      <c r="D584" s="5"/>
      <c r="E584" s="20"/>
      <c r="F584" s="20"/>
      <c r="G584" s="20"/>
      <c r="H584" s="20"/>
      <c r="I584" s="47"/>
      <c r="J584" s="2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5"/>
      <c r="C585" s="5"/>
      <c r="D585" s="5"/>
      <c r="E585" s="20"/>
      <c r="F585" s="20"/>
      <c r="G585" s="20"/>
      <c r="H585" s="20"/>
      <c r="I585" s="47"/>
      <c r="J585" s="2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5"/>
      <c r="C586" s="5"/>
      <c r="D586" s="5"/>
      <c r="E586" s="20"/>
      <c r="F586" s="20"/>
      <c r="G586" s="20"/>
      <c r="H586" s="20"/>
      <c r="I586" s="47"/>
      <c r="J586" s="2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5"/>
      <c r="C587" s="5"/>
      <c r="D587" s="5"/>
      <c r="E587" s="20"/>
      <c r="F587" s="20"/>
      <c r="G587" s="20"/>
      <c r="H587" s="20"/>
      <c r="I587" s="47"/>
      <c r="J587" s="2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5"/>
      <c r="C588" s="5"/>
      <c r="D588" s="5"/>
      <c r="E588" s="20"/>
      <c r="F588" s="20"/>
      <c r="G588" s="20"/>
      <c r="H588" s="20"/>
      <c r="I588" s="47"/>
      <c r="J588" s="2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5"/>
      <c r="C589" s="5"/>
      <c r="D589" s="5"/>
      <c r="E589" s="20"/>
      <c r="F589" s="20"/>
      <c r="G589" s="20"/>
      <c r="H589" s="20"/>
      <c r="I589" s="47"/>
      <c r="J589" s="2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5"/>
      <c r="C590" s="5"/>
      <c r="D590" s="5"/>
      <c r="E590" s="20"/>
      <c r="F590" s="20"/>
      <c r="G590" s="20"/>
      <c r="H590" s="20"/>
      <c r="I590" s="47"/>
      <c r="J590" s="2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5"/>
      <c r="C591" s="5"/>
      <c r="D591" s="5"/>
      <c r="E591" s="20"/>
      <c r="F591" s="20"/>
      <c r="G591" s="20"/>
      <c r="H591" s="20"/>
      <c r="I591" s="47"/>
      <c r="J591" s="2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5"/>
      <c r="C592" s="5"/>
      <c r="D592" s="5"/>
      <c r="E592" s="20"/>
      <c r="F592" s="20"/>
      <c r="G592" s="20"/>
      <c r="H592" s="20"/>
      <c r="I592" s="47"/>
      <c r="J592" s="2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5"/>
      <c r="C593" s="5"/>
      <c r="D593" s="5"/>
      <c r="E593" s="20"/>
      <c r="F593" s="20"/>
      <c r="G593" s="20"/>
      <c r="H593" s="20"/>
      <c r="I593" s="47"/>
      <c r="J593" s="2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5"/>
      <c r="C594" s="5"/>
      <c r="D594" s="5"/>
      <c r="E594" s="20"/>
      <c r="F594" s="20"/>
      <c r="G594" s="20"/>
      <c r="H594" s="20"/>
      <c r="I594" s="47"/>
      <c r="J594" s="2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5"/>
      <c r="C595" s="5"/>
      <c r="D595" s="5"/>
      <c r="E595" s="20"/>
      <c r="F595" s="20"/>
      <c r="G595" s="20"/>
      <c r="H595" s="20"/>
      <c r="I595" s="47"/>
      <c r="J595" s="2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5"/>
      <c r="C596" s="5"/>
      <c r="D596" s="5"/>
      <c r="E596" s="20"/>
      <c r="F596" s="20"/>
      <c r="G596" s="20"/>
      <c r="H596" s="20"/>
      <c r="I596" s="47"/>
      <c r="J596" s="2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5"/>
      <c r="C597" s="5"/>
      <c r="D597" s="5"/>
      <c r="E597" s="20"/>
      <c r="F597" s="20"/>
      <c r="G597" s="20"/>
      <c r="H597" s="20"/>
      <c r="I597" s="47"/>
      <c r="J597" s="2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5"/>
      <c r="C598" s="5"/>
      <c r="D598" s="5"/>
      <c r="E598" s="20"/>
      <c r="F598" s="20"/>
      <c r="G598" s="20"/>
      <c r="H598" s="20"/>
      <c r="I598" s="47"/>
      <c r="J598" s="2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5"/>
      <c r="C599" s="5"/>
      <c r="D599" s="5"/>
      <c r="E599" s="20"/>
      <c r="F599" s="20"/>
      <c r="G599" s="20"/>
      <c r="H599" s="20"/>
      <c r="I599" s="47"/>
      <c r="J599" s="2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5"/>
      <c r="C600" s="5"/>
      <c r="D600" s="5"/>
      <c r="E600" s="20"/>
      <c r="F600" s="20"/>
      <c r="G600" s="20"/>
      <c r="H600" s="20"/>
      <c r="I600" s="47"/>
      <c r="J600" s="2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5"/>
      <c r="C601" s="5"/>
      <c r="D601" s="5"/>
      <c r="E601" s="20"/>
      <c r="F601" s="20"/>
      <c r="G601" s="20"/>
      <c r="H601" s="20"/>
      <c r="I601" s="47"/>
      <c r="J601" s="2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5"/>
      <c r="C602" s="5"/>
      <c r="D602" s="5"/>
      <c r="E602" s="20"/>
      <c r="F602" s="20"/>
      <c r="G602" s="20"/>
      <c r="H602" s="20"/>
      <c r="I602" s="47"/>
      <c r="J602" s="2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5"/>
      <c r="C603" s="5"/>
      <c r="D603" s="5"/>
      <c r="E603" s="20"/>
      <c r="F603" s="20"/>
      <c r="G603" s="20"/>
      <c r="H603" s="20"/>
      <c r="I603" s="47"/>
      <c r="J603" s="2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5"/>
      <c r="C604" s="5"/>
      <c r="D604" s="5"/>
      <c r="E604" s="20"/>
      <c r="F604" s="20"/>
      <c r="G604" s="20"/>
      <c r="H604" s="20"/>
      <c r="I604" s="47"/>
      <c r="J604" s="2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5"/>
      <c r="C605" s="5"/>
      <c r="D605" s="5"/>
      <c r="E605" s="20"/>
      <c r="F605" s="20"/>
      <c r="G605" s="20"/>
      <c r="H605" s="20"/>
      <c r="I605" s="47"/>
      <c r="J605" s="2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5"/>
      <c r="C606" s="5"/>
      <c r="D606" s="5"/>
      <c r="E606" s="20"/>
      <c r="F606" s="20"/>
      <c r="G606" s="20"/>
      <c r="H606" s="20"/>
      <c r="I606" s="47"/>
      <c r="J606" s="2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5"/>
      <c r="C607" s="5"/>
      <c r="D607" s="5"/>
      <c r="E607" s="20"/>
      <c r="F607" s="20"/>
      <c r="G607" s="20"/>
      <c r="H607" s="20"/>
      <c r="I607" s="47"/>
      <c r="J607" s="2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5"/>
      <c r="C608" s="5"/>
      <c r="D608" s="5"/>
      <c r="E608" s="20"/>
      <c r="F608" s="20"/>
      <c r="G608" s="20"/>
      <c r="H608" s="20"/>
      <c r="I608" s="47"/>
      <c r="J608" s="2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5"/>
      <c r="C609" s="5"/>
      <c r="D609" s="5"/>
      <c r="E609" s="20"/>
      <c r="F609" s="20"/>
      <c r="G609" s="20"/>
      <c r="H609" s="20"/>
      <c r="I609" s="47"/>
      <c r="J609" s="2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5"/>
      <c r="C610" s="5"/>
      <c r="D610" s="5"/>
      <c r="E610" s="20"/>
      <c r="F610" s="20"/>
      <c r="G610" s="20"/>
      <c r="H610" s="20"/>
      <c r="I610" s="47"/>
      <c r="J610" s="2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5"/>
      <c r="C611" s="5"/>
      <c r="D611" s="5"/>
      <c r="E611" s="20"/>
      <c r="F611" s="20"/>
      <c r="G611" s="20"/>
      <c r="H611" s="20"/>
      <c r="I611" s="47"/>
      <c r="J611" s="2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5"/>
      <c r="C612" s="5"/>
      <c r="D612" s="5"/>
      <c r="E612" s="20"/>
      <c r="F612" s="20"/>
      <c r="G612" s="20"/>
      <c r="H612" s="20"/>
      <c r="I612" s="47"/>
      <c r="J612" s="2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5"/>
      <c r="C613" s="5"/>
      <c r="D613" s="5"/>
      <c r="E613" s="20"/>
      <c r="F613" s="20"/>
      <c r="G613" s="20"/>
      <c r="H613" s="20"/>
      <c r="I613" s="47"/>
      <c r="J613" s="2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5"/>
      <c r="C614" s="5"/>
      <c r="D614" s="5"/>
      <c r="E614" s="20"/>
      <c r="F614" s="20"/>
      <c r="G614" s="20"/>
      <c r="H614" s="20"/>
      <c r="I614" s="47"/>
      <c r="J614" s="2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5"/>
      <c r="C615" s="5"/>
      <c r="D615" s="5"/>
      <c r="E615" s="20"/>
      <c r="F615" s="20"/>
      <c r="G615" s="20"/>
      <c r="H615" s="20"/>
      <c r="I615" s="47"/>
      <c r="J615" s="2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5"/>
      <c r="C616" s="5"/>
      <c r="D616" s="5"/>
      <c r="E616" s="20"/>
      <c r="F616" s="20"/>
      <c r="G616" s="20"/>
      <c r="H616" s="20"/>
      <c r="I616" s="47"/>
      <c r="J616" s="2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5"/>
      <c r="C617" s="5"/>
      <c r="D617" s="5"/>
      <c r="E617" s="20"/>
      <c r="F617" s="20"/>
      <c r="G617" s="20"/>
      <c r="H617" s="20"/>
      <c r="I617" s="47"/>
      <c r="J617" s="2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5"/>
      <c r="C618" s="5"/>
      <c r="D618" s="5"/>
      <c r="E618" s="20"/>
      <c r="F618" s="20"/>
      <c r="G618" s="20"/>
      <c r="H618" s="20"/>
      <c r="I618" s="47"/>
      <c r="J618" s="2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5"/>
      <c r="C619" s="5"/>
      <c r="D619" s="5"/>
      <c r="E619" s="20"/>
      <c r="F619" s="20"/>
      <c r="G619" s="20"/>
      <c r="H619" s="20"/>
      <c r="I619" s="47"/>
      <c r="J619" s="2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5"/>
      <c r="C620" s="5"/>
      <c r="D620" s="5"/>
      <c r="E620" s="20"/>
      <c r="F620" s="20"/>
      <c r="G620" s="20"/>
      <c r="H620" s="20"/>
      <c r="I620" s="47"/>
      <c r="J620" s="2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5"/>
      <c r="C621" s="5"/>
      <c r="D621" s="5"/>
      <c r="E621" s="20"/>
      <c r="F621" s="20"/>
      <c r="G621" s="20"/>
      <c r="H621" s="20"/>
      <c r="I621" s="47"/>
      <c r="J621" s="2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5"/>
      <c r="C622" s="5"/>
      <c r="D622" s="5"/>
      <c r="E622" s="20"/>
      <c r="F622" s="20"/>
      <c r="G622" s="20"/>
      <c r="H622" s="20"/>
      <c r="I622" s="47"/>
      <c r="J622" s="2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5"/>
      <c r="C623" s="5"/>
      <c r="D623" s="5"/>
      <c r="E623" s="20"/>
      <c r="F623" s="20"/>
      <c r="G623" s="20"/>
      <c r="H623" s="20"/>
      <c r="I623" s="47"/>
      <c r="J623" s="2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5"/>
      <c r="C624" s="5"/>
      <c r="D624" s="5"/>
      <c r="E624" s="20"/>
      <c r="F624" s="20"/>
      <c r="G624" s="20"/>
      <c r="H624" s="20"/>
      <c r="I624" s="47"/>
      <c r="J624" s="2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5"/>
      <c r="C625" s="5"/>
      <c r="D625" s="5"/>
      <c r="E625" s="20"/>
      <c r="F625" s="20"/>
      <c r="G625" s="20"/>
      <c r="H625" s="20"/>
      <c r="I625" s="47"/>
      <c r="J625" s="2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5"/>
      <c r="C626" s="5"/>
      <c r="D626" s="5"/>
      <c r="E626" s="20"/>
      <c r="F626" s="20"/>
      <c r="G626" s="20"/>
      <c r="H626" s="20"/>
      <c r="I626" s="47"/>
      <c r="J626" s="2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5"/>
      <c r="C627" s="5"/>
      <c r="D627" s="5"/>
      <c r="E627" s="20"/>
      <c r="F627" s="20"/>
      <c r="G627" s="20"/>
      <c r="H627" s="20"/>
      <c r="I627" s="47"/>
      <c r="J627" s="2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5"/>
      <c r="C628" s="5"/>
      <c r="D628" s="5"/>
      <c r="E628" s="20"/>
      <c r="F628" s="20"/>
      <c r="G628" s="20"/>
      <c r="H628" s="20"/>
      <c r="I628" s="47"/>
      <c r="J628" s="2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5"/>
      <c r="C629" s="5"/>
      <c r="D629" s="5"/>
      <c r="E629" s="20"/>
      <c r="F629" s="20"/>
      <c r="G629" s="20"/>
      <c r="H629" s="20"/>
      <c r="I629" s="47"/>
      <c r="J629" s="2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5"/>
      <c r="C630" s="5"/>
      <c r="D630" s="5"/>
      <c r="E630" s="20"/>
      <c r="F630" s="20"/>
      <c r="G630" s="20"/>
      <c r="H630" s="20"/>
      <c r="I630" s="47"/>
      <c r="J630" s="2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5"/>
      <c r="C631" s="5"/>
      <c r="D631" s="5"/>
      <c r="E631" s="20"/>
      <c r="F631" s="20"/>
      <c r="G631" s="20"/>
      <c r="H631" s="20"/>
      <c r="I631" s="47"/>
      <c r="J631" s="2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5"/>
      <c r="C632" s="5"/>
      <c r="D632" s="5"/>
      <c r="E632" s="20"/>
      <c r="F632" s="20"/>
      <c r="G632" s="20"/>
      <c r="H632" s="20"/>
      <c r="I632" s="47"/>
      <c r="J632" s="2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5"/>
      <c r="C633" s="5"/>
      <c r="D633" s="5"/>
      <c r="E633" s="20"/>
      <c r="F633" s="20"/>
      <c r="G633" s="20"/>
      <c r="H633" s="20"/>
      <c r="I633" s="47"/>
      <c r="J633" s="2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5"/>
      <c r="C634" s="5"/>
      <c r="D634" s="5"/>
      <c r="E634" s="20"/>
      <c r="F634" s="20"/>
      <c r="G634" s="20"/>
      <c r="H634" s="20"/>
      <c r="I634" s="47"/>
      <c r="J634" s="2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5"/>
      <c r="C635" s="5"/>
      <c r="D635" s="5"/>
      <c r="E635" s="20"/>
      <c r="F635" s="20"/>
      <c r="G635" s="20"/>
      <c r="H635" s="20"/>
      <c r="I635" s="47"/>
      <c r="J635" s="2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5"/>
      <c r="C636" s="5"/>
      <c r="D636" s="5"/>
      <c r="E636" s="20"/>
      <c r="F636" s="20"/>
      <c r="G636" s="20"/>
      <c r="H636" s="20"/>
      <c r="I636" s="47"/>
      <c r="J636" s="2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5"/>
      <c r="C637" s="5"/>
      <c r="D637" s="5"/>
      <c r="E637" s="20"/>
      <c r="F637" s="20"/>
      <c r="G637" s="20"/>
      <c r="H637" s="20"/>
      <c r="I637" s="47"/>
      <c r="J637" s="2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5"/>
      <c r="C638" s="5"/>
      <c r="D638" s="5"/>
      <c r="E638" s="20"/>
      <c r="F638" s="20"/>
      <c r="G638" s="20"/>
      <c r="H638" s="20"/>
      <c r="I638" s="47"/>
      <c r="J638" s="2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5"/>
      <c r="C639" s="5"/>
      <c r="D639" s="5"/>
      <c r="E639" s="20"/>
      <c r="F639" s="20"/>
      <c r="G639" s="20"/>
      <c r="H639" s="20"/>
      <c r="I639" s="47"/>
      <c r="J639" s="2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5"/>
      <c r="C640" s="5"/>
      <c r="D640" s="5"/>
      <c r="E640" s="20"/>
      <c r="F640" s="20"/>
      <c r="G640" s="20"/>
      <c r="H640" s="20"/>
      <c r="I640" s="47"/>
      <c r="J640" s="2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5"/>
      <c r="C641" s="5"/>
      <c r="D641" s="5"/>
      <c r="E641" s="20"/>
      <c r="F641" s="20"/>
      <c r="G641" s="20"/>
      <c r="H641" s="20"/>
      <c r="I641" s="47"/>
      <c r="J641" s="2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5"/>
      <c r="C642" s="5"/>
      <c r="D642" s="5"/>
      <c r="E642" s="20"/>
      <c r="F642" s="20"/>
      <c r="G642" s="20"/>
      <c r="H642" s="20"/>
      <c r="I642" s="47"/>
      <c r="J642" s="2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5"/>
      <c r="C643" s="5"/>
      <c r="D643" s="5"/>
      <c r="E643" s="20"/>
      <c r="F643" s="20"/>
      <c r="G643" s="20"/>
      <c r="H643" s="20"/>
      <c r="I643" s="47"/>
      <c r="J643" s="2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5"/>
      <c r="C644" s="5"/>
      <c r="D644" s="5"/>
      <c r="E644" s="20"/>
      <c r="F644" s="20"/>
      <c r="G644" s="20"/>
      <c r="H644" s="20"/>
      <c r="I644" s="47"/>
      <c r="J644" s="2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5"/>
      <c r="C645" s="5"/>
      <c r="D645" s="5"/>
      <c r="E645" s="20"/>
      <c r="F645" s="20"/>
      <c r="G645" s="20"/>
      <c r="H645" s="20"/>
      <c r="I645" s="47"/>
      <c r="J645" s="2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5"/>
      <c r="C646" s="5"/>
      <c r="D646" s="5"/>
      <c r="E646" s="20"/>
      <c r="F646" s="20"/>
      <c r="G646" s="20"/>
      <c r="H646" s="20"/>
      <c r="I646" s="47"/>
      <c r="J646" s="2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5"/>
      <c r="C647" s="5"/>
      <c r="D647" s="5"/>
      <c r="E647" s="20"/>
      <c r="F647" s="20"/>
      <c r="G647" s="20"/>
      <c r="H647" s="20"/>
      <c r="I647" s="47"/>
      <c r="J647" s="2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5"/>
      <c r="C648" s="5"/>
      <c r="D648" s="5"/>
      <c r="E648" s="20"/>
      <c r="F648" s="20"/>
      <c r="G648" s="20"/>
      <c r="H648" s="20"/>
      <c r="I648" s="47"/>
      <c r="J648" s="2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5"/>
      <c r="C649" s="5"/>
      <c r="D649" s="5"/>
      <c r="E649" s="20"/>
      <c r="F649" s="20"/>
      <c r="G649" s="20"/>
      <c r="H649" s="20"/>
      <c r="I649" s="47"/>
      <c r="J649" s="2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5"/>
      <c r="C650" s="5"/>
      <c r="D650" s="5"/>
      <c r="E650" s="20"/>
      <c r="F650" s="20"/>
      <c r="G650" s="20"/>
      <c r="H650" s="20"/>
      <c r="I650" s="47"/>
      <c r="J650" s="2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5"/>
      <c r="C651" s="5"/>
      <c r="D651" s="5"/>
      <c r="E651" s="20"/>
      <c r="F651" s="20"/>
      <c r="G651" s="20"/>
      <c r="H651" s="20"/>
      <c r="I651" s="47"/>
      <c r="J651" s="2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5"/>
      <c r="C652" s="5"/>
      <c r="D652" s="5"/>
      <c r="E652" s="20"/>
      <c r="F652" s="20"/>
      <c r="G652" s="20"/>
      <c r="H652" s="20"/>
      <c r="I652" s="47"/>
      <c r="J652" s="2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5"/>
      <c r="C653" s="5"/>
      <c r="D653" s="5"/>
      <c r="E653" s="20"/>
      <c r="F653" s="20"/>
      <c r="G653" s="20"/>
      <c r="H653" s="20"/>
      <c r="I653" s="47"/>
      <c r="J653" s="2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5"/>
      <c r="C654" s="5"/>
      <c r="D654" s="5"/>
      <c r="E654" s="20"/>
      <c r="F654" s="20"/>
      <c r="G654" s="20"/>
      <c r="H654" s="20"/>
      <c r="I654" s="47"/>
      <c r="J654" s="2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5"/>
      <c r="C655" s="5"/>
      <c r="D655" s="5"/>
      <c r="E655" s="20"/>
      <c r="F655" s="20"/>
      <c r="G655" s="20"/>
      <c r="H655" s="20"/>
      <c r="I655" s="47"/>
      <c r="J655" s="2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5"/>
      <c r="C656" s="5"/>
      <c r="D656" s="5"/>
      <c r="E656" s="20"/>
      <c r="F656" s="20"/>
      <c r="G656" s="20"/>
      <c r="H656" s="20"/>
      <c r="I656" s="47"/>
      <c r="J656" s="2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5"/>
      <c r="C657" s="5"/>
      <c r="D657" s="5"/>
      <c r="E657" s="20"/>
      <c r="F657" s="20"/>
      <c r="G657" s="20"/>
      <c r="H657" s="20"/>
      <c r="I657" s="47"/>
      <c r="J657" s="2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5"/>
      <c r="C658" s="5"/>
      <c r="D658" s="5"/>
      <c r="E658" s="20"/>
      <c r="F658" s="20"/>
      <c r="G658" s="20"/>
      <c r="H658" s="20"/>
      <c r="I658" s="47"/>
      <c r="J658" s="2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5"/>
      <c r="C659" s="5"/>
      <c r="D659" s="5"/>
      <c r="E659" s="20"/>
      <c r="F659" s="20"/>
      <c r="G659" s="20"/>
      <c r="H659" s="20"/>
      <c r="I659" s="47"/>
      <c r="J659" s="2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5"/>
      <c r="C660" s="5"/>
      <c r="D660" s="5"/>
      <c r="E660" s="20"/>
      <c r="F660" s="20"/>
      <c r="G660" s="20"/>
      <c r="H660" s="20"/>
      <c r="I660" s="47"/>
      <c r="J660" s="2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5"/>
      <c r="C661" s="5"/>
      <c r="D661" s="5"/>
      <c r="E661" s="20"/>
      <c r="F661" s="20"/>
      <c r="G661" s="20"/>
      <c r="H661" s="20"/>
      <c r="I661" s="47"/>
      <c r="J661" s="2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5"/>
      <c r="C662" s="5"/>
      <c r="D662" s="5"/>
      <c r="E662" s="20"/>
      <c r="F662" s="20"/>
      <c r="G662" s="20"/>
      <c r="H662" s="20"/>
      <c r="I662" s="47"/>
      <c r="J662" s="2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5"/>
      <c r="C663" s="5"/>
      <c r="D663" s="5"/>
      <c r="E663" s="20"/>
      <c r="F663" s="20"/>
      <c r="G663" s="20"/>
      <c r="H663" s="20"/>
      <c r="I663" s="47"/>
      <c r="J663" s="2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5"/>
      <c r="C664" s="5"/>
      <c r="D664" s="5"/>
      <c r="E664" s="20"/>
      <c r="F664" s="20"/>
      <c r="G664" s="20"/>
      <c r="H664" s="20"/>
      <c r="I664" s="47"/>
      <c r="J664" s="2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5"/>
      <c r="C665" s="5"/>
      <c r="D665" s="5"/>
      <c r="E665" s="20"/>
      <c r="F665" s="20"/>
      <c r="G665" s="20"/>
      <c r="H665" s="20"/>
      <c r="I665" s="47"/>
      <c r="J665" s="2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5"/>
      <c r="C666" s="5"/>
      <c r="D666" s="5"/>
      <c r="E666" s="20"/>
      <c r="F666" s="20"/>
      <c r="G666" s="20"/>
      <c r="H666" s="20"/>
      <c r="I666" s="47"/>
      <c r="J666" s="2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5"/>
      <c r="C667" s="5"/>
      <c r="D667" s="5"/>
      <c r="E667" s="20"/>
      <c r="F667" s="20"/>
      <c r="G667" s="20"/>
      <c r="H667" s="20"/>
      <c r="I667" s="47"/>
      <c r="J667" s="2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5"/>
      <c r="C668" s="5"/>
      <c r="D668" s="5"/>
      <c r="E668" s="20"/>
      <c r="F668" s="20"/>
      <c r="G668" s="20"/>
      <c r="H668" s="20"/>
      <c r="I668" s="47"/>
      <c r="J668" s="2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5"/>
      <c r="C669" s="5"/>
      <c r="D669" s="5"/>
      <c r="E669" s="20"/>
      <c r="F669" s="20"/>
      <c r="G669" s="20"/>
      <c r="H669" s="20"/>
      <c r="I669" s="47"/>
      <c r="J669" s="2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5"/>
      <c r="C670" s="5"/>
      <c r="D670" s="5"/>
      <c r="E670" s="20"/>
      <c r="F670" s="20"/>
      <c r="G670" s="20"/>
      <c r="H670" s="20"/>
      <c r="I670" s="47"/>
      <c r="J670" s="2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5"/>
      <c r="C671" s="5"/>
      <c r="D671" s="5"/>
      <c r="E671" s="20"/>
      <c r="F671" s="20"/>
      <c r="G671" s="20"/>
      <c r="H671" s="20"/>
      <c r="I671" s="47"/>
      <c r="J671" s="2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5"/>
      <c r="C672" s="5"/>
      <c r="D672" s="5"/>
      <c r="E672" s="20"/>
      <c r="F672" s="20"/>
      <c r="G672" s="20"/>
      <c r="H672" s="20"/>
      <c r="I672" s="47"/>
      <c r="J672" s="2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5"/>
      <c r="C673" s="5"/>
      <c r="D673" s="5"/>
      <c r="E673" s="20"/>
      <c r="F673" s="20"/>
      <c r="G673" s="20"/>
      <c r="H673" s="20"/>
      <c r="I673" s="47"/>
      <c r="J673" s="2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5"/>
      <c r="C674" s="5"/>
      <c r="D674" s="5"/>
      <c r="E674" s="20"/>
      <c r="F674" s="20"/>
      <c r="G674" s="20"/>
      <c r="H674" s="20"/>
      <c r="I674" s="47"/>
      <c r="J674" s="2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5"/>
      <c r="C675" s="5"/>
      <c r="D675" s="5"/>
      <c r="E675" s="20"/>
      <c r="F675" s="20"/>
      <c r="G675" s="20"/>
      <c r="H675" s="20"/>
      <c r="I675" s="47"/>
      <c r="J675" s="2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5"/>
      <c r="C676" s="5"/>
      <c r="D676" s="5"/>
      <c r="E676" s="20"/>
      <c r="F676" s="20"/>
      <c r="G676" s="20"/>
      <c r="H676" s="20"/>
      <c r="I676" s="47"/>
      <c r="J676" s="2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5"/>
      <c r="C677" s="5"/>
      <c r="D677" s="5"/>
      <c r="E677" s="20"/>
      <c r="F677" s="20"/>
      <c r="G677" s="20"/>
      <c r="H677" s="20"/>
      <c r="I677" s="47"/>
      <c r="J677" s="2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5"/>
      <c r="C678" s="5"/>
      <c r="D678" s="5"/>
      <c r="E678" s="20"/>
      <c r="F678" s="20"/>
      <c r="G678" s="20"/>
      <c r="H678" s="20"/>
      <c r="I678" s="47"/>
      <c r="J678" s="2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5"/>
      <c r="C679" s="5"/>
      <c r="D679" s="5"/>
      <c r="E679" s="20"/>
      <c r="F679" s="20"/>
      <c r="G679" s="20"/>
      <c r="H679" s="20"/>
      <c r="I679" s="47"/>
      <c r="J679" s="2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5"/>
      <c r="C680" s="5"/>
      <c r="D680" s="5"/>
      <c r="E680" s="20"/>
      <c r="F680" s="20"/>
      <c r="G680" s="20"/>
      <c r="H680" s="20"/>
      <c r="I680" s="47"/>
      <c r="J680" s="2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5"/>
      <c r="C681" s="5"/>
      <c r="D681" s="5"/>
      <c r="E681" s="20"/>
      <c r="F681" s="20"/>
      <c r="G681" s="20"/>
      <c r="H681" s="20"/>
      <c r="I681" s="47"/>
      <c r="J681" s="2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5"/>
      <c r="C682" s="5"/>
      <c r="D682" s="5"/>
      <c r="E682" s="20"/>
      <c r="F682" s="20"/>
      <c r="G682" s="20"/>
      <c r="H682" s="20"/>
      <c r="I682" s="47"/>
      <c r="J682" s="2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5"/>
      <c r="C683" s="5"/>
      <c r="D683" s="5"/>
      <c r="E683" s="20"/>
      <c r="F683" s="20"/>
      <c r="G683" s="20"/>
      <c r="H683" s="20"/>
      <c r="I683" s="47"/>
      <c r="J683" s="2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5"/>
      <c r="C684" s="5"/>
      <c r="D684" s="5"/>
      <c r="E684" s="20"/>
      <c r="F684" s="20"/>
      <c r="G684" s="20"/>
      <c r="H684" s="20"/>
      <c r="I684" s="47"/>
      <c r="J684" s="2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5"/>
      <c r="C685" s="5"/>
      <c r="D685" s="5"/>
      <c r="E685" s="20"/>
      <c r="F685" s="20"/>
      <c r="G685" s="20"/>
      <c r="H685" s="20"/>
      <c r="I685" s="47"/>
      <c r="J685" s="2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5"/>
      <c r="C686" s="5"/>
      <c r="D686" s="5"/>
      <c r="E686" s="20"/>
      <c r="F686" s="20"/>
      <c r="G686" s="20"/>
      <c r="H686" s="20"/>
      <c r="I686" s="47"/>
      <c r="J686" s="2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5"/>
      <c r="C687" s="5"/>
      <c r="D687" s="5"/>
      <c r="E687" s="20"/>
      <c r="F687" s="20"/>
      <c r="G687" s="20"/>
      <c r="H687" s="20"/>
      <c r="I687" s="47"/>
      <c r="J687" s="2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5"/>
      <c r="C688" s="5"/>
      <c r="D688" s="5"/>
      <c r="E688" s="20"/>
      <c r="F688" s="20"/>
      <c r="G688" s="20"/>
      <c r="H688" s="20"/>
      <c r="I688" s="47"/>
      <c r="J688" s="2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5"/>
      <c r="C689" s="5"/>
      <c r="D689" s="5"/>
      <c r="E689" s="20"/>
      <c r="F689" s="20"/>
      <c r="G689" s="20"/>
      <c r="H689" s="20"/>
      <c r="I689" s="47"/>
      <c r="J689" s="2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5"/>
      <c r="C690" s="5"/>
      <c r="D690" s="5"/>
      <c r="E690" s="20"/>
      <c r="F690" s="20"/>
      <c r="G690" s="20"/>
      <c r="H690" s="20"/>
      <c r="I690" s="47"/>
      <c r="J690" s="2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5"/>
      <c r="C691" s="5"/>
      <c r="D691" s="5"/>
      <c r="E691" s="20"/>
      <c r="F691" s="20"/>
      <c r="G691" s="20"/>
      <c r="H691" s="20"/>
      <c r="I691" s="47"/>
      <c r="J691" s="2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5"/>
      <c r="C692" s="5"/>
      <c r="D692" s="5"/>
      <c r="E692" s="20"/>
      <c r="F692" s="20"/>
      <c r="G692" s="20"/>
      <c r="H692" s="20"/>
      <c r="I692" s="47"/>
      <c r="J692" s="2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5"/>
      <c r="C693" s="5"/>
      <c r="D693" s="5"/>
      <c r="E693" s="20"/>
      <c r="F693" s="20"/>
      <c r="G693" s="20"/>
      <c r="H693" s="20"/>
      <c r="I693" s="47"/>
      <c r="J693" s="2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5"/>
      <c r="C694" s="5"/>
      <c r="D694" s="5"/>
      <c r="E694" s="20"/>
      <c r="F694" s="20"/>
      <c r="G694" s="20"/>
      <c r="H694" s="20"/>
      <c r="I694" s="47"/>
      <c r="J694" s="2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5"/>
      <c r="C695" s="5"/>
      <c r="D695" s="5"/>
      <c r="E695" s="20"/>
      <c r="F695" s="20"/>
      <c r="G695" s="20"/>
      <c r="H695" s="20"/>
      <c r="I695" s="47"/>
      <c r="J695" s="2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5"/>
      <c r="C696" s="5"/>
      <c r="D696" s="5"/>
      <c r="E696" s="20"/>
      <c r="F696" s="20"/>
      <c r="G696" s="20"/>
      <c r="H696" s="20"/>
      <c r="I696" s="47"/>
      <c r="J696" s="2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5"/>
      <c r="C697" s="5"/>
      <c r="D697" s="5"/>
      <c r="E697" s="20"/>
      <c r="F697" s="20"/>
      <c r="G697" s="20"/>
      <c r="H697" s="20"/>
      <c r="I697" s="47"/>
      <c r="J697" s="2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5"/>
      <c r="C698" s="5"/>
      <c r="D698" s="5"/>
      <c r="E698" s="20"/>
      <c r="F698" s="20"/>
      <c r="G698" s="20"/>
      <c r="H698" s="20"/>
      <c r="I698" s="47"/>
      <c r="J698" s="2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5"/>
      <c r="C699" s="5"/>
      <c r="D699" s="5"/>
      <c r="E699" s="20"/>
      <c r="F699" s="20"/>
      <c r="G699" s="20"/>
      <c r="H699" s="20"/>
      <c r="I699" s="47"/>
      <c r="J699" s="2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5"/>
      <c r="C700" s="5"/>
      <c r="D700" s="5"/>
      <c r="E700" s="20"/>
      <c r="F700" s="20"/>
      <c r="G700" s="20"/>
      <c r="H700" s="20"/>
      <c r="I700" s="47"/>
      <c r="J700" s="2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5"/>
      <c r="C701" s="5"/>
      <c r="D701" s="5"/>
      <c r="E701" s="20"/>
      <c r="F701" s="20"/>
      <c r="G701" s="20"/>
      <c r="H701" s="20"/>
      <c r="I701" s="47"/>
      <c r="J701" s="2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5"/>
      <c r="C702" s="5"/>
      <c r="D702" s="5"/>
      <c r="E702" s="20"/>
      <c r="F702" s="20"/>
      <c r="G702" s="20"/>
      <c r="H702" s="20"/>
      <c r="I702" s="47"/>
      <c r="J702" s="2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5"/>
      <c r="C703" s="5"/>
      <c r="D703" s="5"/>
      <c r="E703" s="20"/>
      <c r="F703" s="20"/>
      <c r="G703" s="20"/>
      <c r="H703" s="20"/>
      <c r="I703" s="47"/>
      <c r="J703" s="2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5"/>
      <c r="C704" s="5"/>
      <c r="D704" s="5"/>
      <c r="E704" s="20"/>
      <c r="F704" s="20"/>
      <c r="G704" s="20"/>
      <c r="H704" s="20"/>
      <c r="I704" s="47"/>
      <c r="J704" s="2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5"/>
      <c r="C705" s="5"/>
      <c r="D705" s="5"/>
      <c r="E705" s="20"/>
      <c r="F705" s="20"/>
      <c r="G705" s="20"/>
      <c r="H705" s="20"/>
      <c r="I705" s="47"/>
      <c r="J705" s="2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5"/>
      <c r="C706" s="5"/>
      <c r="D706" s="5"/>
      <c r="E706" s="20"/>
      <c r="F706" s="20"/>
      <c r="G706" s="20"/>
      <c r="H706" s="20"/>
      <c r="I706" s="47"/>
      <c r="J706" s="2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5"/>
      <c r="C707" s="5"/>
      <c r="D707" s="5"/>
      <c r="E707" s="20"/>
      <c r="F707" s="20"/>
      <c r="G707" s="20"/>
      <c r="H707" s="20"/>
      <c r="I707" s="47"/>
      <c r="J707" s="2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5"/>
      <c r="C708" s="5"/>
      <c r="D708" s="5"/>
      <c r="E708" s="20"/>
      <c r="F708" s="20"/>
      <c r="G708" s="20"/>
      <c r="H708" s="20"/>
      <c r="I708" s="47"/>
      <c r="J708" s="2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5"/>
      <c r="C709" s="5"/>
      <c r="D709" s="5"/>
      <c r="E709" s="20"/>
      <c r="F709" s="20"/>
      <c r="G709" s="20"/>
      <c r="H709" s="20"/>
      <c r="I709" s="47"/>
      <c r="J709" s="2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5"/>
      <c r="C710" s="5"/>
      <c r="D710" s="5"/>
      <c r="E710" s="20"/>
      <c r="F710" s="20"/>
      <c r="G710" s="20"/>
      <c r="H710" s="20"/>
      <c r="I710" s="47"/>
      <c r="J710" s="2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5"/>
      <c r="C711" s="5"/>
      <c r="D711" s="5"/>
      <c r="E711" s="20"/>
      <c r="F711" s="20"/>
      <c r="G711" s="20"/>
      <c r="H711" s="20"/>
      <c r="I711" s="47"/>
      <c r="J711" s="2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5"/>
      <c r="C712" s="5"/>
      <c r="D712" s="5"/>
      <c r="E712" s="20"/>
      <c r="F712" s="20"/>
      <c r="G712" s="20"/>
      <c r="H712" s="20"/>
      <c r="I712" s="47"/>
      <c r="J712" s="2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5"/>
      <c r="C713" s="5"/>
      <c r="D713" s="5"/>
      <c r="E713" s="20"/>
      <c r="F713" s="20"/>
      <c r="G713" s="20"/>
      <c r="H713" s="20"/>
      <c r="I713" s="47"/>
      <c r="J713" s="2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5"/>
      <c r="C714" s="5"/>
      <c r="D714" s="5"/>
      <c r="E714" s="20"/>
      <c r="F714" s="20"/>
      <c r="G714" s="20"/>
      <c r="H714" s="20"/>
      <c r="I714" s="47"/>
      <c r="J714" s="2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5"/>
      <c r="C715" s="5"/>
      <c r="D715" s="5"/>
      <c r="E715" s="20"/>
      <c r="F715" s="20"/>
      <c r="G715" s="20"/>
      <c r="H715" s="20"/>
      <c r="I715" s="47"/>
      <c r="J715" s="2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5"/>
      <c r="C716" s="5"/>
      <c r="D716" s="5"/>
      <c r="E716" s="20"/>
      <c r="F716" s="20"/>
      <c r="G716" s="20"/>
      <c r="H716" s="20"/>
      <c r="I716" s="47"/>
      <c r="J716" s="2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5"/>
      <c r="C717" s="5"/>
      <c r="D717" s="5"/>
      <c r="E717" s="20"/>
      <c r="F717" s="20"/>
      <c r="G717" s="20"/>
      <c r="H717" s="20"/>
      <c r="I717" s="47"/>
      <c r="J717" s="2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5"/>
      <c r="C718" s="5"/>
      <c r="D718" s="5"/>
      <c r="E718" s="20"/>
      <c r="F718" s="20"/>
      <c r="G718" s="20"/>
      <c r="H718" s="20"/>
      <c r="I718" s="47"/>
      <c r="J718" s="2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5"/>
      <c r="C719" s="5"/>
      <c r="D719" s="5"/>
      <c r="E719" s="20"/>
      <c r="F719" s="20"/>
      <c r="G719" s="20"/>
      <c r="H719" s="20"/>
      <c r="I719" s="47"/>
      <c r="J719" s="2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5"/>
      <c r="C720" s="5"/>
      <c r="D720" s="5"/>
      <c r="E720" s="20"/>
      <c r="F720" s="20"/>
      <c r="G720" s="20"/>
      <c r="H720" s="20"/>
      <c r="I720" s="47"/>
      <c r="J720" s="2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5"/>
      <c r="C721" s="5"/>
      <c r="D721" s="5"/>
      <c r="E721" s="20"/>
      <c r="F721" s="20"/>
      <c r="G721" s="20"/>
      <c r="H721" s="20"/>
      <c r="I721" s="47"/>
      <c r="J721" s="2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5"/>
      <c r="C722" s="5"/>
      <c r="D722" s="5"/>
      <c r="E722" s="20"/>
      <c r="F722" s="20"/>
      <c r="G722" s="20"/>
      <c r="H722" s="20"/>
      <c r="I722" s="47"/>
      <c r="J722" s="2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5"/>
      <c r="C723" s="5"/>
      <c r="D723" s="5"/>
      <c r="E723" s="20"/>
      <c r="F723" s="20"/>
      <c r="G723" s="20"/>
      <c r="H723" s="20"/>
      <c r="I723" s="47"/>
      <c r="J723" s="2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5"/>
      <c r="C724" s="5"/>
      <c r="D724" s="5"/>
      <c r="E724" s="20"/>
      <c r="F724" s="20"/>
      <c r="G724" s="20"/>
      <c r="H724" s="20"/>
      <c r="I724" s="47"/>
      <c r="J724" s="2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5"/>
      <c r="C725" s="5"/>
      <c r="D725" s="5"/>
      <c r="E725" s="20"/>
      <c r="F725" s="20"/>
      <c r="G725" s="20"/>
      <c r="H725" s="20"/>
      <c r="I725" s="47"/>
      <c r="J725" s="2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5"/>
      <c r="C726" s="5"/>
      <c r="D726" s="5"/>
      <c r="E726" s="20"/>
      <c r="F726" s="20"/>
      <c r="G726" s="20"/>
      <c r="H726" s="20"/>
      <c r="I726" s="47"/>
      <c r="J726" s="2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5"/>
      <c r="C727" s="5"/>
      <c r="D727" s="5"/>
      <c r="E727" s="20"/>
      <c r="F727" s="20"/>
      <c r="G727" s="20"/>
      <c r="H727" s="20"/>
      <c r="I727" s="47"/>
      <c r="J727" s="2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5"/>
      <c r="C728" s="5"/>
      <c r="D728" s="5"/>
      <c r="E728" s="20"/>
      <c r="F728" s="20"/>
      <c r="G728" s="20"/>
      <c r="H728" s="20"/>
      <c r="I728" s="47"/>
      <c r="J728" s="2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5"/>
      <c r="C729" s="5"/>
      <c r="D729" s="5"/>
      <c r="E729" s="20"/>
      <c r="F729" s="20"/>
      <c r="G729" s="20"/>
      <c r="H729" s="20"/>
      <c r="I729" s="47"/>
      <c r="J729" s="2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5"/>
      <c r="C730" s="5"/>
      <c r="D730" s="5"/>
      <c r="E730" s="20"/>
      <c r="F730" s="20"/>
      <c r="G730" s="20"/>
      <c r="H730" s="20"/>
      <c r="I730" s="47"/>
      <c r="J730" s="2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5"/>
      <c r="C731" s="5"/>
      <c r="D731" s="5"/>
      <c r="E731" s="20"/>
      <c r="F731" s="20"/>
      <c r="G731" s="20"/>
      <c r="H731" s="20"/>
      <c r="I731" s="47"/>
      <c r="J731" s="2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5"/>
      <c r="C732" s="5"/>
      <c r="D732" s="5"/>
      <c r="E732" s="20"/>
      <c r="F732" s="20"/>
      <c r="G732" s="20"/>
      <c r="H732" s="20"/>
      <c r="I732" s="47"/>
      <c r="J732" s="2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5"/>
      <c r="C733" s="5"/>
      <c r="D733" s="5"/>
      <c r="E733" s="20"/>
      <c r="F733" s="20"/>
      <c r="G733" s="20"/>
      <c r="H733" s="20"/>
      <c r="I733" s="47"/>
      <c r="J733" s="2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5"/>
      <c r="C734" s="5"/>
      <c r="D734" s="5"/>
      <c r="E734" s="20"/>
      <c r="F734" s="20"/>
      <c r="G734" s="20"/>
      <c r="H734" s="20"/>
      <c r="I734" s="47"/>
      <c r="J734" s="2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5"/>
      <c r="C735" s="5"/>
      <c r="D735" s="5"/>
      <c r="E735" s="20"/>
      <c r="F735" s="20"/>
      <c r="G735" s="20"/>
      <c r="H735" s="20"/>
      <c r="I735" s="47"/>
      <c r="J735" s="2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5"/>
      <c r="C736" s="5"/>
      <c r="D736" s="5"/>
      <c r="E736" s="20"/>
      <c r="F736" s="20"/>
      <c r="G736" s="20"/>
      <c r="H736" s="20"/>
      <c r="I736" s="47"/>
      <c r="J736" s="2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5"/>
      <c r="C737" s="5"/>
      <c r="D737" s="5"/>
      <c r="E737" s="20"/>
      <c r="F737" s="20"/>
      <c r="G737" s="20"/>
      <c r="H737" s="20"/>
      <c r="I737" s="47"/>
      <c r="J737" s="2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5"/>
      <c r="C738" s="5"/>
      <c r="D738" s="5"/>
      <c r="E738" s="20"/>
      <c r="F738" s="20"/>
      <c r="G738" s="20"/>
      <c r="H738" s="20"/>
      <c r="I738" s="47"/>
      <c r="J738" s="2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5"/>
      <c r="C739" s="5"/>
      <c r="D739" s="5"/>
      <c r="E739" s="20"/>
      <c r="F739" s="20"/>
      <c r="G739" s="20"/>
      <c r="H739" s="20"/>
      <c r="I739" s="47"/>
      <c r="J739" s="2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5"/>
      <c r="C740" s="5"/>
      <c r="D740" s="5"/>
      <c r="E740" s="20"/>
      <c r="F740" s="20"/>
      <c r="G740" s="20"/>
      <c r="H740" s="20"/>
      <c r="I740" s="47"/>
      <c r="J740" s="2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5"/>
      <c r="C741" s="5"/>
      <c r="D741" s="5"/>
      <c r="E741" s="20"/>
      <c r="F741" s="20"/>
      <c r="G741" s="20"/>
      <c r="H741" s="20"/>
      <c r="I741" s="47"/>
      <c r="J741" s="2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5"/>
      <c r="C742" s="5"/>
      <c r="D742" s="5"/>
      <c r="E742" s="20"/>
      <c r="F742" s="20"/>
      <c r="G742" s="20"/>
      <c r="H742" s="20"/>
      <c r="I742" s="47"/>
      <c r="J742" s="2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5"/>
      <c r="C743" s="5"/>
      <c r="D743" s="5"/>
      <c r="E743" s="20"/>
      <c r="F743" s="20"/>
      <c r="G743" s="20"/>
      <c r="H743" s="20"/>
      <c r="I743" s="47"/>
      <c r="J743" s="2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5"/>
      <c r="C744" s="5"/>
      <c r="D744" s="5"/>
      <c r="E744" s="20"/>
      <c r="F744" s="20"/>
      <c r="G744" s="20"/>
      <c r="H744" s="20"/>
      <c r="I744" s="47"/>
      <c r="J744" s="2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5"/>
      <c r="C745" s="5"/>
      <c r="D745" s="5"/>
      <c r="E745" s="20"/>
      <c r="F745" s="20"/>
      <c r="G745" s="20"/>
      <c r="H745" s="20"/>
      <c r="I745" s="47"/>
      <c r="J745" s="2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5"/>
      <c r="C746" s="5"/>
      <c r="D746" s="5"/>
      <c r="E746" s="20"/>
      <c r="F746" s="20"/>
      <c r="G746" s="20"/>
      <c r="H746" s="20"/>
      <c r="I746" s="47"/>
      <c r="J746" s="2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5"/>
      <c r="C747" s="5"/>
      <c r="D747" s="5"/>
      <c r="E747" s="20"/>
      <c r="F747" s="20"/>
      <c r="G747" s="20"/>
      <c r="H747" s="20"/>
      <c r="I747" s="47"/>
      <c r="J747" s="2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5"/>
      <c r="C748" s="5"/>
      <c r="D748" s="5"/>
      <c r="E748" s="20"/>
      <c r="F748" s="20"/>
      <c r="G748" s="20"/>
      <c r="H748" s="20"/>
      <c r="I748" s="47"/>
      <c r="J748" s="2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5"/>
      <c r="C749" s="5"/>
      <c r="D749" s="5"/>
      <c r="E749" s="20"/>
      <c r="F749" s="20"/>
      <c r="G749" s="20"/>
      <c r="H749" s="20"/>
      <c r="I749" s="47"/>
      <c r="J749" s="2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5"/>
      <c r="C750" s="5"/>
      <c r="D750" s="5"/>
      <c r="E750" s="20"/>
      <c r="F750" s="20"/>
      <c r="G750" s="20"/>
      <c r="H750" s="20"/>
      <c r="I750" s="47"/>
      <c r="J750" s="2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5"/>
      <c r="C751" s="5"/>
      <c r="D751" s="5"/>
      <c r="E751" s="20"/>
      <c r="F751" s="20"/>
      <c r="G751" s="20"/>
      <c r="H751" s="20"/>
      <c r="I751" s="47"/>
      <c r="J751" s="2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5"/>
      <c r="C752" s="5"/>
      <c r="D752" s="5"/>
      <c r="E752" s="20"/>
      <c r="F752" s="20"/>
      <c r="G752" s="20"/>
      <c r="H752" s="20"/>
      <c r="I752" s="47"/>
      <c r="J752" s="2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5"/>
      <c r="C753" s="5"/>
      <c r="D753" s="5"/>
      <c r="E753" s="20"/>
      <c r="F753" s="20"/>
      <c r="G753" s="20"/>
      <c r="H753" s="20"/>
      <c r="I753" s="47"/>
      <c r="J753" s="2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5"/>
      <c r="C754" s="5"/>
      <c r="D754" s="5"/>
      <c r="E754" s="20"/>
      <c r="F754" s="20"/>
      <c r="G754" s="20"/>
      <c r="H754" s="20"/>
      <c r="I754" s="47"/>
      <c r="J754" s="2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5"/>
      <c r="C755" s="5"/>
      <c r="D755" s="5"/>
      <c r="E755" s="20"/>
      <c r="F755" s="20"/>
      <c r="G755" s="20"/>
      <c r="H755" s="20"/>
      <c r="I755" s="47"/>
      <c r="J755" s="2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5"/>
      <c r="C756" s="5"/>
      <c r="D756" s="5"/>
      <c r="E756" s="20"/>
      <c r="F756" s="20"/>
      <c r="G756" s="20"/>
      <c r="H756" s="20"/>
      <c r="I756" s="47"/>
      <c r="J756" s="2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5"/>
      <c r="C757" s="5"/>
      <c r="D757" s="5"/>
      <c r="E757" s="20"/>
      <c r="F757" s="20"/>
      <c r="G757" s="20"/>
      <c r="H757" s="20"/>
      <c r="I757" s="47"/>
      <c r="J757" s="2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5"/>
      <c r="C758" s="5"/>
      <c r="D758" s="5"/>
      <c r="E758" s="20"/>
      <c r="F758" s="20"/>
      <c r="G758" s="20"/>
      <c r="H758" s="20"/>
      <c r="I758" s="47"/>
      <c r="J758" s="2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5"/>
      <c r="C759" s="5"/>
      <c r="D759" s="5"/>
      <c r="E759" s="20"/>
      <c r="F759" s="20"/>
      <c r="G759" s="20"/>
      <c r="H759" s="20"/>
      <c r="I759" s="47"/>
      <c r="J759" s="2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5"/>
      <c r="C760" s="5"/>
      <c r="D760" s="5"/>
      <c r="E760" s="20"/>
      <c r="F760" s="20"/>
      <c r="G760" s="20"/>
      <c r="H760" s="20"/>
      <c r="I760" s="47"/>
      <c r="J760" s="2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5"/>
      <c r="C761" s="5"/>
      <c r="D761" s="5"/>
      <c r="E761" s="20"/>
      <c r="F761" s="20"/>
      <c r="G761" s="20"/>
      <c r="H761" s="20"/>
      <c r="I761" s="47"/>
      <c r="J761" s="2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5"/>
      <c r="C762" s="5"/>
      <c r="D762" s="5"/>
      <c r="E762" s="20"/>
      <c r="F762" s="20"/>
      <c r="G762" s="20"/>
      <c r="H762" s="20"/>
      <c r="I762" s="47"/>
      <c r="J762" s="2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5"/>
      <c r="C763" s="5"/>
      <c r="D763" s="5"/>
      <c r="E763" s="20"/>
      <c r="F763" s="20"/>
      <c r="G763" s="20"/>
      <c r="H763" s="20"/>
      <c r="I763" s="47"/>
      <c r="J763" s="2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5"/>
      <c r="C764" s="5"/>
      <c r="D764" s="5"/>
      <c r="E764" s="20"/>
      <c r="F764" s="20"/>
      <c r="G764" s="20"/>
      <c r="H764" s="20"/>
      <c r="I764" s="47"/>
      <c r="J764" s="2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5"/>
      <c r="C765" s="5"/>
      <c r="D765" s="5"/>
      <c r="E765" s="20"/>
      <c r="F765" s="20"/>
      <c r="G765" s="20"/>
      <c r="H765" s="20"/>
      <c r="I765" s="47"/>
      <c r="J765" s="2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5"/>
      <c r="C766" s="5"/>
      <c r="D766" s="5"/>
      <c r="E766" s="20"/>
      <c r="F766" s="20"/>
      <c r="G766" s="20"/>
      <c r="H766" s="20"/>
      <c r="I766" s="47"/>
      <c r="J766" s="2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5"/>
      <c r="C767" s="5"/>
      <c r="D767" s="5"/>
      <c r="E767" s="20"/>
      <c r="F767" s="20"/>
      <c r="G767" s="20"/>
      <c r="H767" s="20"/>
      <c r="I767" s="47"/>
      <c r="J767" s="2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5"/>
      <c r="C768" s="5"/>
      <c r="D768" s="5"/>
      <c r="E768" s="20"/>
      <c r="F768" s="20"/>
      <c r="G768" s="20"/>
      <c r="H768" s="20"/>
      <c r="I768" s="47"/>
      <c r="J768" s="2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5"/>
      <c r="C769" s="5"/>
      <c r="D769" s="5"/>
      <c r="E769" s="20"/>
      <c r="F769" s="20"/>
      <c r="G769" s="20"/>
      <c r="H769" s="20"/>
      <c r="I769" s="47"/>
      <c r="J769" s="2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5"/>
      <c r="C770" s="5"/>
      <c r="D770" s="5"/>
      <c r="E770" s="20"/>
      <c r="F770" s="20"/>
      <c r="G770" s="20"/>
      <c r="H770" s="20"/>
      <c r="I770" s="47"/>
      <c r="J770" s="2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5"/>
      <c r="C771" s="5"/>
      <c r="D771" s="5"/>
      <c r="E771" s="20"/>
      <c r="F771" s="20"/>
      <c r="G771" s="20"/>
      <c r="H771" s="20"/>
      <c r="I771" s="47"/>
      <c r="J771" s="2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5"/>
      <c r="C772" s="5"/>
      <c r="D772" s="5"/>
      <c r="E772" s="20"/>
      <c r="F772" s="20"/>
      <c r="G772" s="20"/>
      <c r="H772" s="20"/>
      <c r="I772" s="47"/>
      <c r="J772" s="2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5"/>
      <c r="C773" s="5"/>
      <c r="D773" s="5"/>
      <c r="E773" s="20"/>
      <c r="F773" s="20"/>
      <c r="G773" s="20"/>
      <c r="H773" s="20"/>
      <c r="I773" s="47"/>
      <c r="J773" s="2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5"/>
      <c r="C774" s="5"/>
      <c r="D774" s="5"/>
      <c r="E774" s="20"/>
      <c r="F774" s="20"/>
      <c r="G774" s="20"/>
      <c r="H774" s="20"/>
      <c r="I774" s="47"/>
      <c r="J774" s="2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5"/>
      <c r="C775" s="5"/>
      <c r="D775" s="5"/>
      <c r="E775" s="20"/>
      <c r="F775" s="20"/>
      <c r="G775" s="20"/>
      <c r="H775" s="20"/>
      <c r="I775" s="47"/>
      <c r="J775" s="2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5"/>
      <c r="C776" s="5"/>
      <c r="D776" s="5"/>
      <c r="E776" s="20"/>
      <c r="F776" s="20"/>
      <c r="G776" s="20"/>
      <c r="H776" s="20"/>
      <c r="I776" s="47"/>
      <c r="J776" s="2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5"/>
      <c r="C777" s="5"/>
      <c r="D777" s="5"/>
      <c r="E777" s="20"/>
      <c r="F777" s="20"/>
      <c r="G777" s="20"/>
      <c r="H777" s="20"/>
      <c r="I777" s="47"/>
      <c r="J777" s="2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5"/>
      <c r="C778" s="5"/>
      <c r="D778" s="5"/>
      <c r="E778" s="20"/>
      <c r="F778" s="20"/>
      <c r="G778" s="20"/>
      <c r="H778" s="20"/>
      <c r="I778" s="47"/>
      <c r="J778" s="2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5"/>
      <c r="C779" s="5"/>
      <c r="D779" s="5"/>
      <c r="E779" s="20"/>
      <c r="F779" s="20"/>
      <c r="G779" s="20"/>
      <c r="H779" s="20"/>
      <c r="I779" s="47"/>
      <c r="J779" s="2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5"/>
      <c r="C780" s="5"/>
      <c r="D780" s="5"/>
      <c r="E780" s="20"/>
      <c r="F780" s="20"/>
      <c r="G780" s="20"/>
      <c r="H780" s="20"/>
      <c r="I780" s="47"/>
      <c r="J780" s="2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5"/>
      <c r="C781" s="5"/>
      <c r="D781" s="5"/>
      <c r="E781" s="20"/>
      <c r="F781" s="20"/>
      <c r="G781" s="20"/>
      <c r="H781" s="20"/>
      <c r="I781" s="47"/>
      <c r="J781" s="2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5"/>
      <c r="C782" s="5"/>
      <c r="D782" s="5"/>
      <c r="E782" s="20"/>
      <c r="F782" s="20"/>
      <c r="G782" s="20"/>
      <c r="H782" s="20"/>
      <c r="I782" s="47"/>
      <c r="J782" s="2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5"/>
      <c r="C783" s="5"/>
      <c r="D783" s="5"/>
      <c r="E783" s="20"/>
      <c r="F783" s="20"/>
      <c r="G783" s="20"/>
      <c r="H783" s="20"/>
      <c r="I783" s="47"/>
      <c r="J783" s="2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5"/>
      <c r="C784" s="5"/>
      <c r="D784" s="5"/>
      <c r="E784" s="20"/>
      <c r="F784" s="20"/>
      <c r="G784" s="20"/>
      <c r="H784" s="20"/>
      <c r="I784" s="47"/>
      <c r="J784" s="2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5"/>
      <c r="C785" s="5"/>
      <c r="D785" s="5"/>
      <c r="E785" s="20"/>
      <c r="F785" s="20"/>
      <c r="G785" s="20"/>
      <c r="H785" s="20"/>
      <c r="I785" s="47"/>
      <c r="J785" s="2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5"/>
      <c r="C786" s="5"/>
      <c r="D786" s="5"/>
      <c r="E786" s="20"/>
      <c r="F786" s="20"/>
      <c r="G786" s="20"/>
      <c r="H786" s="20"/>
      <c r="I786" s="47"/>
      <c r="J786" s="2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5"/>
      <c r="C787" s="5"/>
      <c r="D787" s="5"/>
      <c r="E787" s="20"/>
      <c r="F787" s="20"/>
      <c r="G787" s="20"/>
      <c r="H787" s="20"/>
      <c r="I787" s="47"/>
      <c r="J787" s="2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5"/>
      <c r="C788" s="5"/>
      <c r="D788" s="5"/>
      <c r="E788" s="20"/>
      <c r="F788" s="20"/>
      <c r="G788" s="20"/>
      <c r="H788" s="20"/>
      <c r="I788" s="47"/>
      <c r="J788" s="2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5"/>
      <c r="C789" s="5"/>
      <c r="D789" s="5"/>
      <c r="E789" s="20"/>
      <c r="F789" s="20"/>
      <c r="G789" s="20"/>
      <c r="H789" s="20"/>
      <c r="I789" s="47"/>
      <c r="J789" s="2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5"/>
      <c r="C790" s="5"/>
      <c r="D790" s="5"/>
      <c r="E790" s="20"/>
      <c r="F790" s="20"/>
      <c r="G790" s="20"/>
      <c r="H790" s="20"/>
      <c r="I790" s="47"/>
      <c r="J790" s="2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5"/>
      <c r="C791" s="5"/>
      <c r="D791" s="5"/>
      <c r="E791" s="20"/>
      <c r="F791" s="20"/>
      <c r="G791" s="20"/>
      <c r="H791" s="20"/>
      <c r="I791" s="47"/>
      <c r="J791" s="2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5"/>
      <c r="C792" s="5"/>
      <c r="D792" s="5"/>
      <c r="E792" s="20"/>
      <c r="F792" s="20"/>
      <c r="G792" s="20"/>
      <c r="H792" s="20"/>
      <c r="I792" s="47"/>
      <c r="J792" s="2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5"/>
      <c r="C793" s="5"/>
      <c r="D793" s="5"/>
      <c r="E793" s="20"/>
      <c r="F793" s="20"/>
      <c r="G793" s="20"/>
      <c r="H793" s="20"/>
      <c r="I793" s="47"/>
      <c r="J793" s="2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5"/>
      <c r="C794" s="5"/>
      <c r="D794" s="5"/>
      <c r="E794" s="20"/>
      <c r="F794" s="20"/>
      <c r="G794" s="20"/>
      <c r="H794" s="20"/>
      <c r="I794" s="47"/>
      <c r="J794" s="2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5"/>
      <c r="C795" s="5"/>
      <c r="D795" s="5"/>
      <c r="E795" s="20"/>
      <c r="F795" s="20"/>
      <c r="G795" s="20"/>
      <c r="H795" s="20"/>
      <c r="I795" s="47"/>
      <c r="J795" s="2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5"/>
      <c r="C796" s="5"/>
      <c r="D796" s="5"/>
      <c r="E796" s="20"/>
      <c r="F796" s="20"/>
      <c r="G796" s="20"/>
      <c r="H796" s="20"/>
      <c r="I796" s="47"/>
      <c r="J796" s="2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5"/>
      <c r="C797" s="5"/>
      <c r="D797" s="5"/>
      <c r="E797" s="20"/>
      <c r="F797" s="20"/>
      <c r="G797" s="20"/>
      <c r="H797" s="20"/>
      <c r="I797" s="47"/>
      <c r="J797" s="2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5"/>
      <c r="C798" s="5"/>
      <c r="D798" s="5"/>
      <c r="E798" s="20"/>
      <c r="F798" s="20"/>
      <c r="G798" s="20"/>
      <c r="H798" s="20"/>
      <c r="I798" s="47"/>
      <c r="J798" s="2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5"/>
      <c r="C799" s="5"/>
      <c r="D799" s="5"/>
      <c r="E799" s="20"/>
      <c r="F799" s="20"/>
      <c r="G799" s="20"/>
      <c r="H799" s="20"/>
      <c r="I799" s="47"/>
      <c r="J799" s="2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5"/>
      <c r="C800" s="5"/>
      <c r="D800" s="5"/>
      <c r="E800" s="20"/>
      <c r="F800" s="20"/>
      <c r="G800" s="20"/>
      <c r="H800" s="20"/>
      <c r="I800" s="47"/>
      <c r="J800" s="2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5"/>
      <c r="C801" s="5"/>
      <c r="D801" s="5"/>
      <c r="E801" s="20"/>
      <c r="F801" s="20"/>
      <c r="G801" s="20"/>
      <c r="H801" s="20"/>
      <c r="I801" s="47"/>
      <c r="J801" s="2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5"/>
      <c r="C802" s="5"/>
      <c r="D802" s="5"/>
      <c r="E802" s="20"/>
      <c r="F802" s="20"/>
      <c r="G802" s="20"/>
      <c r="H802" s="20"/>
      <c r="I802" s="47"/>
      <c r="J802" s="2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5"/>
      <c r="C803" s="5"/>
      <c r="D803" s="5"/>
      <c r="E803" s="20"/>
      <c r="F803" s="20"/>
      <c r="G803" s="20"/>
      <c r="H803" s="20"/>
      <c r="I803" s="47"/>
      <c r="J803" s="2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5"/>
      <c r="C804" s="5"/>
      <c r="D804" s="5"/>
      <c r="E804" s="20"/>
      <c r="F804" s="20"/>
      <c r="G804" s="20"/>
      <c r="H804" s="20"/>
      <c r="I804" s="47"/>
      <c r="J804" s="2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5"/>
      <c r="C805" s="5"/>
      <c r="D805" s="5"/>
      <c r="E805" s="20"/>
      <c r="F805" s="20"/>
      <c r="G805" s="20"/>
      <c r="H805" s="20"/>
      <c r="I805" s="47"/>
      <c r="J805" s="2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5"/>
      <c r="C806" s="5"/>
      <c r="D806" s="5"/>
      <c r="E806" s="20"/>
      <c r="F806" s="20"/>
      <c r="G806" s="20"/>
      <c r="H806" s="20"/>
      <c r="I806" s="47"/>
      <c r="J806" s="2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5"/>
      <c r="C807" s="5"/>
      <c r="D807" s="5"/>
      <c r="E807" s="20"/>
      <c r="F807" s="20"/>
      <c r="G807" s="20"/>
      <c r="H807" s="20"/>
      <c r="I807" s="47"/>
      <c r="J807" s="2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5"/>
      <c r="C808" s="5"/>
      <c r="D808" s="5"/>
      <c r="E808" s="20"/>
      <c r="F808" s="20"/>
      <c r="G808" s="20"/>
      <c r="H808" s="20"/>
      <c r="I808" s="47"/>
      <c r="J808" s="2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5"/>
      <c r="C809" s="5"/>
      <c r="D809" s="5"/>
      <c r="E809" s="20"/>
      <c r="F809" s="20"/>
      <c r="G809" s="20"/>
      <c r="H809" s="20"/>
      <c r="I809" s="47"/>
      <c r="J809" s="2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5"/>
      <c r="C810" s="5"/>
      <c r="D810" s="5"/>
      <c r="E810" s="20"/>
      <c r="F810" s="20"/>
      <c r="G810" s="20"/>
      <c r="H810" s="20"/>
      <c r="I810" s="47"/>
      <c r="J810" s="2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5"/>
      <c r="C811" s="5"/>
      <c r="D811" s="5"/>
      <c r="E811" s="20"/>
      <c r="F811" s="20"/>
      <c r="G811" s="20"/>
      <c r="H811" s="20"/>
      <c r="I811" s="47"/>
      <c r="J811" s="2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5"/>
      <c r="C812" s="5"/>
      <c r="D812" s="5"/>
      <c r="E812" s="20"/>
      <c r="F812" s="20"/>
      <c r="G812" s="20"/>
      <c r="H812" s="20"/>
      <c r="I812" s="47"/>
      <c r="J812" s="2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5"/>
      <c r="C813" s="5"/>
      <c r="D813" s="5"/>
      <c r="E813" s="20"/>
      <c r="F813" s="20"/>
      <c r="G813" s="20"/>
      <c r="H813" s="20"/>
      <c r="I813" s="47"/>
      <c r="J813" s="2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5"/>
      <c r="C814" s="5"/>
      <c r="D814" s="5"/>
      <c r="E814" s="20"/>
      <c r="F814" s="20"/>
      <c r="G814" s="20"/>
      <c r="H814" s="20"/>
      <c r="I814" s="47"/>
      <c r="J814" s="2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5"/>
      <c r="C815" s="5"/>
      <c r="D815" s="5"/>
      <c r="E815" s="20"/>
      <c r="F815" s="20"/>
      <c r="G815" s="20"/>
      <c r="H815" s="20"/>
      <c r="I815" s="47"/>
      <c r="J815" s="2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5"/>
      <c r="C816" s="5"/>
      <c r="D816" s="5"/>
      <c r="E816" s="20"/>
      <c r="F816" s="20"/>
      <c r="G816" s="20"/>
      <c r="H816" s="20"/>
      <c r="I816" s="47"/>
      <c r="J816" s="2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5"/>
      <c r="C817" s="5"/>
      <c r="D817" s="5"/>
      <c r="E817" s="20"/>
      <c r="F817" s="20"/>
      <c r="G817" s="20"/>
      <c r="H817" s="20"/>
      <c r="I817" s="47"/>
      <c r="J817" s="2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5"/>
      <c r="C818" s="5"/>
      <c r="D818" s="5"/>
      <c r="E818" s="20"/>
      <c r="F818" s="20"/>
      <c r="G818" s="20"/>
      <c r="H818" s="20"/>
      <c r="I818" s="47"/>
      <c r="J818" s="2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5"/>
      <c r="C819" s="5"/>
      <c r="D819" s="5"/>
      <c r="E819" s="20"/>
      <c r="F819" s="20"/>
      <c r="G819" s="20"/>
      <c r="H819" s="20"/>
      <c r="I819" s="47"/>
      <c r="J819" s="2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5"/>
      <c r="C820" s="5"/>
      <c r="D820" s="5"/>
      <c r="E820" s="20"/>
      <c r="F820" s="20"/>
      <c r="G820" s="20"/>
      <c r="H820" s="20"/>
      <c r="I820" s="47"/>
      <c r="J820" s="2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5"/>
      <c r="C821" s="5"/>
      <c r="D821" s="5"/>
      <c r="E821" s="20"/>
      <c r="F821" s="20"/>
      <c r="G821" s="20"/>
      <c r="H821" s="20"/>
      <c r="I821" s="47"/>
      <c r="J821" s="2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5"/>
      <c r="C822" s="5"/>
      <c r="D822" s="5"/>
      <c r="E822" s="20"/>
      <c r="F822" s="20"/>
      <c r="G822" s="20"/>
      <c r="H822" s="20"/>
      <c r="I822" s="47"/>
      <c r="J822" s="2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5"/>
      <c r="C823" s="5"/>
      <c r="D823" s="5"/>
      <c r="E823" s="20"/>
      <c r="F823" s="20"/>
      <c r="G823" s="20"/>
      <c r="H823" s="20"/>
      <c r="I823" s="47"/>
      <c r="J823" s="2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5"/>
      <c r="C824" s="5"/>
      <c r="D824" s="5"/>
      <c r="E824" s="20"/>
      <c r="F824" s="20"/>
      <c r="G824" s="20"/>
      <c r="H824" s="20"/>
      <c r="I824" s="47"/>
      <c r="J824" s="2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5"/>
      <c r="C825" s="5"/>
      <c r="D825" s="5"/>
      <c r="E825" s="20"/>
      <c r="F825" s="20"/>
      <c r="G825" s="20"/>
      <c r="H825" s="20"/>
      <c r="I825" s="47"/>
      <c r="J825" s="2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5"/>
      <c r="C826" s="5"/>
      <c r="D826" s="5"/>
      <c r="E826" s="20"/>
      <c r="F826" s="20"/>
      <c r="G826" s="20"/>
      <c r="H826" s="20"/>
      <c r="I826" s="47"/>
      <c r="J826" s="2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5"/>
      <c r="C827" s="5"/>
      <c r="D827" s="5"/>
      <c r="E827" s="20"/>
      <c r="F827" s="20"/>
      <c r="G827" s="20"/>
      <c r="H827" s="20"/>
      <c r="I827" s="47"/>
      <c r="J827" s="2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5"/>
      <c r="C828" s="5"/>
      <c r="D828" s="5"/>
      <c r="E828" s="20"/>
      <c r="F828" s="20"/>
      <c r="G828" s="20"/>
      <c r="H828" s="20"/>
      <c r="I828" s="47"/>
      <c r="J828" s="2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5"/>
      <c r="C829" s="5"/>
      <c r="D829" s="5"/>
      <c r="E829" s="20"/>
      <c r="F829" s="20"/>
      <c r="G829" s="20"/>
      <c r="H829" s="20"/>
      <c r="I829" s="47"/>
      <c r="J829" s="2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5"/>
      <c r="C830" s="5"/>
      <c r="D830" s="5"/>
      <c r="E830" s="20"/>
      <c r="F830" s="20"/>
      <c r="G830" s="20"/>
      <c r="H830" s="20"/>
      <c r="I830" s="47"/>
      <c r="J830" s="2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5"/>
      <c r="C831" s="5"/>
      <c r="D831" s="5"/>
      <c r="E831" s="20"/>
      <c r="F831" s="20"/>
      <c r="G831" s="20"/>
      <c r="H831" s="20"/>
      <c r="I831" s="47"/>
      <c r="J831" s="2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5"/>
      <c r="C832" s="5"/>
      <c r="D832" s="5"/>
      <c r="E832" s="20"/>
      <c r="F832" s="20"/>
      <c r="G832" s="20"/>
      <c r="H832" s="20"/>
      <c r="I832" s="47"/>
      <c r="J832" s="2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5"/>
      <c r="C833" s="5"/>
      <c r="D833" s="5"/>
      <c r="E833" s="20"/>
      <c r="F833" s="20"/>
      <c r="G833" s="20"/>
      <c r="H833" s="20"/>
      <c r="I833" s="47"/>
      <c r="J833" s="2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5"/>
      <c r="C834" s="5"/>
      <c r="D834" s="5"/>
      <c r="E834" s="20"/>
      <c r="F834" s="20"/>
      <c r="G834" s="20"/>
      <c r="H834" s="20"/>
      <c r="I834" s="47"/>
      <c r="J834" s="2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5"/>
      <c r="C835" s="5"/>
      <c r="D835" s="5"/>
      <c r="E835" s="20"/>
      <c r="F835" s="20"/>
      <c r="G835" s="20"/>
      <c r="H835" s="20"/>
      <c r="I835" s="47"/>
      <c r="J835" s="2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5"/>
      <c r="C836" s="5"/>
      <c r="D836" s="5"/>
      <c r="E836" s="20"/>
      <c r="F836" s="20"/>
      <c r="G836" s="20"/>
      <c r="H836" s="20"/>
      <c r="I836" s="47"/>
      <c r="J836" s="2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5"/>
      <c r="C837" s="5"/>
      <c r="D837" s="5"/>
      <c r="E837" s="20"/>
      <c r="F837" s="20"/>
      <c r="G837" s="20"/>
      <c r="H837" s="20"/>
      <c r="I837" s="47"/>
      <c r="J837" s="2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5"/>
      <c r="C838" s="5"/>
      <c r="D838" s="5"/>
      <c r="E838" s="20"/>
      <c r="F838" s="20"/>
      <c r="G838" s="20"/>
      <c r="H838" s="20"/>
      <c r="I838" s="47"/>
      <c r="J838" s="2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5"/>
      <c r="C839" s="5"/>
      <c r="D839" s="5"/>
      <c r="E839" s="20"/>
      <c r="F839" s="20"/>
      <c r="G839" s="20"/>
      <c r="H839" s="20"/>
      <c r="I839" s="47"/>
      <c r="J839" s="2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5"/>
      <c r="C840" s="5"/>
      <c r="D840" s="5"/>
      <c r="E840" s="20"/>
      <c r="F840" s="20"/>
      <c r="G840" s="20"/>
      <c r="H840" s="20"/>
      <c r="I840" s="47"/>
      <c r="J840" s="2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5"/>
      <c r="C841" s="5"/>
      <c r="D841" s="5"/>
      <c r="E841" s="20"/>
      <c r="F841" s="20"/>
      <c r="G841" s="20"/>
      <c r="H841" s="20"/>
      <c r="I841" s="47"/>
      <c r="J841" s="2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5"/>
      <c r="C842" s="5"/>
      <c r="D842" s="5"/>
      <c r="E842" s="20"/>
      <c r="F842" s="20"/>
      <c r="G842" s="20"/>
      <c r="H842" s="20"/>
      <c r="I842" s="47"/>
      <c r="J842" s="2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5"/>
      <c r="C843" s="5"/>
      <c r="D843" s="5"/>
      <c r="E843" s="20"/>
      <c r="F843" s="20"/>
      <c r="G843" s="20"/>
      <c r="H843" s="20"/>
      <c r="I843" s="47"/>
      <c r="J843" s="2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5"/>
      <c r="C844" s="5"/>
      <c r="D844" s="5"/>
      <c r="E844" s="20"/>
      <c r="F844" s="20"/>
      <c r="G844" s="20"/>
      <c r="H844" s="20"/>
      <c r="I844" s="47"/>
      <c r="J844" s="2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5"/>
      <c r="C845" s="5"/>
      <c r="D845" s="5"/>
      <c r="E845" s="20"/>
      <c r="F845" s="20"/>
      <c r="G845" s="20"/>
      <c r="H845" s="20"/>
      <c r="I845" s="47"/>
      <c r="J845" s="2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5"/>
      <c r="C846" s="5"/>
      <c r="D846" s="5"/>
      <c r="E846" s="20"/>
      <c r="F846" s="20"/>
      <c r="G846" s="20"/>
      <c r="H846" s="20"/>
      <c r="I846" s="47"/>
      <c r="J846" s="2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5"/>
      <c r="C847" s="5"/>
      <c r="D847" s="5"/>
      <c r="E847" s="20"/>
      <c r="F847" s="20"/>
      <c r="G847" s="20"/>
      <c r="H847" s="20"/>
      <c r="I847" s="47"/>
      <c r="J847" s="2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5"/>
      <c r="C848" s="5"/>
      <c r="D848" s="5"/>
      <c r="E848" s="20"/>
      <c r="F848" s="20"/>
      <c r="G848" s="20"/>
      <c r="H848" s="20"/>
      <c r="I848" s="47"/>
      <c r="J848" s="2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5"/>
      <c r="C849" s="5"/>
      <c r="D849" s="5"/>
      <c r="E849" s="20"/>
      <c r="F849" s="20"/>
      <c r="G849" s="20"/>
      <c r="H849" s="20"/>
      <c r="I849" s="47"/>
      <c r="J849" s="2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5"/>
      <c r="C850" s="5"/>
      <c r="D850" s="5"/>
      <c r="E850" s="20"/>
      <c r="F850" s="20"/>
      <c r="G850" s="20"/>
      <c r="H850" s="20"/>
      <c r="I850" s="47"/>
      <c r="J850" s="2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5"/>
      <c r="C851" s="5"/>
      <c r="D851" s="5"/>
      <c r="E851" s="20"/>
      <c r="F851" s="20"/>
      <c r="G851" s="20"/>
      <c r="H851" s="20"/>
      <c r="I851" s="47"/>
      <c r="J851" s="2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5"/>
      <c r="C852" s="5"/>
      <c r="D852" s="5"/>
      <c r="E852" s="20"/>
      <c r="F852" s="20"/>
      <c r="G852" s="20"/>
      <c r="H852" s="20"/>
      <c r="I852" s="47"/>
      <c r="J852" s="2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5"/>
      <c r="C853" s="5"/>
      <c r="D853" s="5"/>
      <c r="E853" s="20"/>
      <c r="F853" s="20"/>
      <c r="G853" s="20"/>
      <c r="H853" s="20"/>
      <c r="I853" s="47"/>
      <c r="J853" s="2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5"/>
      <c r="C854" s="5"/>
      <c r="D854" s="5"/>
      <c r="E854" s="20"/>
      <c r="F854" s="20"/>
      <c r="G854" s="20"/>
      <c r="H854" s="20"/>
      <c r="I854" s="47"/>
      <c r="J854" s="2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5"/>
      <c r="C855" s="5"/>
      <c r="D855" s="5"/>
      <c r="E855" s="20"/>
      <c r="F855" s="20"/>
      <c r="G855" s="20"/>
      <c r="H855" s="20"/>
      <c r="I855" s="47"/>
      <c r="J855" s="2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5"/>
      <c r="C856" s="5"/>
      <c r="D856" s="5"/>
      <c r="E856" s="20"/>
      <c r="F856" s="20"/>
      <c r="G856" s="20"/>
      <c r="H856" s="20"/>
      <c r="I856" s="47"/>
      <c r="J856" s="2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5"/>
      <c r="C857" s="5"/>
      <c r="D857" s="5"/>
      <c r="E857" s="20"/>
      <c r="F857" s="20"/>
      <c r="G857" s="20"/>
      <c r="H857" s="20"/>
      <c r="I857" s="47"/>
      <c r="J857" s="2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5"/>
      <c r="C858" s="5"/>
      <c r="D858" s="5"/>
      <c r="E858" s="20"/>
      <c r="F858" s="20"/>
      <c r="G858" s="20"/>
      <c r="H858" s="20"/>
      <c r="I858" s="47"/>
      <c r="J858" s="2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5"/>
      <c r="C859" s="5"/>
      <c r="D859" s="5"/>
      <c r="E859" s="20"/>
      <c r="F859" s="20"/>
      <c r="G859" s="20"/>
      <c r="H859" s="20"/>
      <c r="I859" s="47"/>
      <c r="J859" s="2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5"/>
      <c r="C860" s="5"/>
      <c r="D860" s="5"/>
      <c r="E860" s="20"/>
      <c r="F860" s="20"/>
      <c r="G860" s="20"/>
      <c r="H860" s="20"/>
      <c r="I860" s="47"/>
      <c r="J860" s="2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5"/>
      <c r="C861" s="5"/>
      <c r="D861" s="5"/>
      <c r="E861" s="20"/>
      <c r="F861" s="20"/>
      <c r="G861" s="20"/>
      <c r="H861" s="20"/>
      <c r="I861" s="47"/>
      <c r="J861" s="2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5"/>
      <c r="C862" s="5"/>
      <c r="D862" s="5"/>
      <c r="E862" s="20"/>
      <c r="F862" s="20"/>
      <c r="G862" s="20"/>
      <c r="H862" s="20"/>
      <c r="I862" s="47"/>
      <c r="J862" s="2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5"/>
      <c r="C863" s="5"/>
      <c r="D863" s="5"/>
      <c r="E863" s="20"/>
      <c r="F863" s="20"/>
      <c r="G863" s="20"/>
      <c r="H863" s="20"/>
      <c r="I863" s="47"/>
      <c r="J863" s="2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5"/>
      <c r="C864" s="5"/>
      <c r="D864" s="5"/>
      <c r="E864" s="20"/>
      <c r="F864" s="20"/>
      <c r="G864" s="20"/>
      <c r="H864" s="20"/>
      <c r="I864" s="47"/>
      <c r="J864" s="2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5"/>
      <c r="C865" s="5"/>
      <c r="D865" s="5"/>
      <c r="E865" s="20"/>
      <c r="F865" s="20"/>
      <c r="G865" s="20"/>
      <c r="H865" s="20"/>
      <c r="I865" s="47"/>
      <c r="J865" s="2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5"/>
      <c r="C866" s="5"/>
      <c r="D866" s="5"/>
      <c r="E866" s="20"/>
      <c r="F866" s="20"/>
      <c r="G866" s="20"/>
      <c r="H866" s="20"/>
      <c r="I866" s="47"/>
      <c r="J866" s="2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5"/>
      <c r="C867" s="5"/>
      <c r="D867" s="5"/>
      <c r="E867" s="20"/>
      <c r="F867" s="20"/>
      <c r="G867" s="20"/>
      <c r="H867" s="20"/>
      <c r="I867" s="47"/>
      <c r="J867" s="2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5"/>
      <c r="C868" s="5"/>
      <c r="D868" s="5"/>
      <c r="E868" s="20"/>
      <c r="F868" s="20"/>
      <c r="G868" s="20"/>
      <c r="H868" s="20"/>
      <c r="I868" s="47"/>
      <c r="J868" s="2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5"/>
      <c r="C869" s="5"/>
      <c r="D869" s="5"/>
      <c r="E869" s="20"/>
      <c r="F869" s="20"/>
      <c r="G869" s="20"/>
      <c r="H869" s="20"/>
      <c r="I869" s="47"/>
      <c r="J869" s="2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5"/>
      <c r="C870" s="5"/>
      <c r="D870" s="5"/>
      <c r="E870" s="20"/>
      <c r="F870" s="20"/>
      <c r="G870" s="20"/>
      <c r="H870" s="20"/>
      <c r="I870" s="47"/>
      <c r="J870" s="2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5"/>
      <c r="C871" s="5"/>
      <c r="D871" s="5"/>
      <c r="E871" s="20"/>
      <c r="F871" s="20"/>
      <c r="G871" s="20"/>
      <c r="H871" s="20"/>
      <c r="I871" s="47"/>
      <c r="J871" s="2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5"/>
      <c r="C872" s="5"/>
      <c r="D872" s="5"/>
      <c r="E872" s="20"/>
      <c r="F872" s="20"/>
      <c r="G872" s="20"/>
      <c r="H872" s="20"/>
      <c r="I872" s="47"/>
      <c r="J872" s="2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5"/>
      <c r="C873" s="5"/>
      <c r="D873" s="5"/>
      <c r="E873" s="20"/>
      <c r="F873" s="20"/>
      <c r="G873" s="20"/>
      <c r="H873" s="20"/>
      <c r="I873" s="47"/>
      <c r="J873" s="2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5"/>
      <c r="C874" s="5"/>
      <c r="D874" s="5"/>
      <c r="E874" s="20"/>
      <c r="F874" s="20"/>
      <c r="G874" s="20"/>
      <c r="H874" s="20"/>
      <c r="I874" s="47"/>
      <c r="J874" s="2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5"/>
      <c r="C875" s="5"/>
      <c r="D875" s="5"/>
      <c r="E875" s="20"/>
      <c r="F875" s="20"/>
      <c r="G875" s="20"/>
      <c r="H875" s="20"/>
      <c r="I875" s="47"/>
      <c r="J875" s="2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5"/>
      <c r="C876" s="5"/>
      <c r="D876" s="5"/>
      <c r="E876" s="20"/>
      <c r="F876" s="20"/>
      <c r="G876" s="20"/>
      <c r="H876" s="20"/>
      <c r="I876" s="47"/>
      <c r="J876" s="2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5"/>
      <c r="C877" s="5"/>
      <c r="D877" s="5"/>
      <c r="E877" s="20"/>
      <c r="F877" s="20"/>
      <c r="G877" s="20"/>
      <c r="H877" s="20"/>
      <c r="I877" s="47"/>
      <c r="J877" s="2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5"/>
      <c r="C878" s="5"/>
      <c r="D878" s="5"/>
      <c r="E878" s="20"/>
      <c r="F878" s="20"/>
      <c r="G878" s="20"/>
      <c r="H878" s="20"/>
      <c r="I878" s="47"/>
      <c r="J878" s="2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5"/>
      <c r="C879" s="5"/>
      <c r="D879" s="5"/>
      <c r="E879" s="20"/>
      <c r="F879" s="20"/>
      <c r="G879" s="20"/>
      <c r="H879" s="20"/>
      <c r="I879" s="47"/>
      <c r="J879" s="2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5"/>
      <c r="C880" s="5"/>
      <c r="D880" s="5"/>
      <c r="E880" s="20"/>
      <c r="F880" s="20"/>
      <c r="G880" s="20"/>
      <c r="H880" s="20"/>
      <c r="I880" s="47"/>
      <c r="J880" s="2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5"/>
      <c r="C881" s="5"/>
      <c r="D881" s="5"/>
      <c r="E881" s="20"/>
      <c r="F881" s="20"/>
      <c r="G881" s="20"/>
      <c r="H881" s="20"/>
      <c r="I881" s="47"/>
      <c r="J881" s="2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5"/>
      <c r="C882" s="5"/>
      <c r="D882" s="5"/>
      <c r="E882" s="20"/>
      <c r="F882" s="20"/>
      <c r="G882" s="20"/>
      <c r="H882" s="20"/>
      <c r="I882" s="47"/>
      <c r="J882" s="2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5"/>
      <c r="C883" s="5"/>
      <c r="D883" s="5"/>
      <c r="E883" s="20"/>
      <c r="F883" s="20"/>
      <c r="G883" s="20"/>
      <c r="H883" s="20"/>
      <c r="I883" s="47"/>
      <c r="J883" s="2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5"/>
      <c r="C884" s="5"/>
      <c r="D884" s="5"/>
      <c r="E884" s="20"/>
      <c r="F884" s="20"/>
      <c r="G884" s="20"/>
      <c r="H884" s="20"/>
      <c r="I884" s="47"/>
      <c r="J884" s="2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5"/>
      <c r="C885" s="5"/>
      <c r="D885" s="5"/>
      <c r="E885" s="20"/>
      <c r="F885" s="20"/>
      <c r="G885" s="20"/>
      <c r="H885" s="20"/>
      <c r="I885" s="47"/>
      <c r="J885" s="2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5"/>
      <c r="C886" s="5"/>
      <c r="D886" s="5"/>
      <c r="E886" s="20"/>
      <c r="F886" s="20"/>
      <c r="G886" s="20"/>
      <c r="H886" s="20"/>
      <c r="I886" s="47"/>
      <c r="J886" s="2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5"/>
      <c r="C887" s="5"/>
      <c r="D887" s="5"/>
      <c r="E887" s="20"/>
      <c r="F887" s="20"/>
      <c r="G887" s="20"/>
      <c r="H887" s="20"/>
      <c r="I887" s="47"/>
      <c r="J887" s="2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5"/>
      <c r="C888" s="5"/>
      <c r="D888" s="5"/>
      <c r="E888" s="20"/>
      <c r="F888" s="20"/>
      <c r="G888" s="20"/>
      <c r="H888" s="20"/>
      <c r="I888" s="47"/>
      <c r="J888" s="2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5"/>
      <c r="C889" s="5"/>
      <c r="D889" s="5"/>
      <c r="E889" s="20"/>
      <c r="F889" s="20"/>
      <c r="G889" s="20"/>
      <c r="H889" s="20"/>
      <c r="I889" s="47"/>
      <c r="J889" s="2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5"/>
      <c r="C890" s="5"/>
      <c r="D890" s="5"/>
      <c r="E890" s="20"/>
      <c r="F890" s="20"/>
      <c r="G890" s="20"/>
      <c r="H890" s="20"/>
      <c r="I890" s="47"/>
      <c r="J890" s="2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5"/>
      <c r="C891" s="5"/>
      <c r="D891" s="5"/>
      <c r="E891" s="20"/>
      <c r="F891" s="20"/>
      <c r="G891" s="20"/>
      <c r="H891" s="20"/>
      <c r="I891" s="47"/>
      <c r="J891" s="2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5"/>
      <c r="C892" s="5"/>
      <c r="D892" s="5"/>
      <c r="E892" s="20"/>
      <c r="F892" s="20"/>
      <c r="G892" s="20"/>
      <c r="H892" s="20"/>
      <c r="I892" s="47"/>
      <c r="J892" s="2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5"/>
      <c r="C893" s="5"/>
      <c r="D893" s="5"/>
      <c r="E893" s="20"/>
      <c r="F893" s="20"/>
      <c r="G893" s="20"/>
      <c r="H893" s="20"/>
      <c r="I893" s="47"/>
      <c r="J893" s="2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5"/>
      <c r="C894" s="5"/>
      <c r="D894" s="5"/>
      <c r="E894" s="20"/>
      <c r="F894" s="20"/>
      <c r="G894" s="20"/>
      <c r="H894" s="20"/>
      <c r="I894" s="47"/>
      <c r="J894" s="2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5"/>
      <c r="C895" s="5"/>
      <c r="D895" s="5"/>
      <c r="E895" s="20"/>
      <c r="F895" s="20"/>
      <c r="G895" s="20"/>
      <c r="H895" s="20"/>
      <c r="I895" s="47"/>
      <c r="J895" s="2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5"/>
      <c r="C896" s="5"/>
      <c r="D896" s="5"/>
      <c r="E896" s="20"/>
      <c r="F896" s="20"/>
      <c r="G896" s="20"/>
      <c r="H896" s="20"/>
      <c r="I896" s="47"/>
      <c r="J896" s="2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5"/>
      <c r="C897" s="5"/>
      <c r="D897" s="5"/>
      <c r="E897" s="20"/>
      <c r="F897" s="20"/>
      <c r="G897" s="20"/>
      <c r="H897" s="20"/>
      <c r="I897" s="47"/>
      <c r="J897" s="2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5"/>
      <c r="C898" s="5"/>
      <c r="D898" s="5"/>
      <c r="E898" s="20"/>
      <c r="F898" s="20"/>
      <c r="G898" s="20"/>
      <c r="H898" s="20"/>
      <c r="I898" s="47"/>
      <c r="J898" s="2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5"/>
      <c r="C899" s="5"/>
      <c r="D899" s="5"/>
      <c r="E899" s="20"/>
      <c r="F899" s="20"/>
      <c r="G899" s="20"/>
      <c r="H899" s="20"/>
      <c r="I899" s="47"/>
      <c r="J899" s="2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5"/>
      <c r="C900" s="5"/>
      <c r="D900" s="5"/>
      <c r="E900" s="20"/>
      <c r="F900" s="20"/>
      <c r="G900" s="20"/>
      <c r="H900" s="20"/>
      <c r="I900" s="47"/>
      <c r="J900" s="2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5"/>
      <c r="C901" s="5"/>
      <c r="D901" s="5"/>
      <c r="E901" s="20"/>
      <c r="F901" s="20"/>
      <c r="G901" s="20"/>
      <c r="H901" s="20"/>
      <c r="I901" s="47"/>
      <c r="J901" s="2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5"/>
      <c r="C902" s="5"/>
      <c r="D902" s="5"/>
      <c r="E902" s="20"/>
      <c r="F902" s="20"/>
      <c r="G902" s="20"/>
      <c r="H902" s="20"/>
      <c r="I902" s="47"/>
      <c r="J902" s="2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5"/>
      <c r="C903" s="5"/>
      <c r="D903" s="5"/>
      <c r="E903" s="20"/>
      <c r="F903" s="20"/>
      <c r="G903" s="20"/>
      <c r="H903" s="20"/>
      <c r="I903" s="47"/>
      <c r="J903" s="2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5"/>
      <c r="C904" s="5"/>
      <c r="D904" s="5"/>
      <c r="E904" s="20"/>
      <c r="F904" s="20"/>
      <c r="G904" s="20"/>
      <c r="H904" s="20"/>
      <c r="I904" s="47"/>
      <c r="J904" s="2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5"/>
      <c r="C905" s="5"/>
      <c r="D905" s="5"/>
      <c r="E905" s="20"/>
      <c r="F905" s="20"/>
      <c r="G905" s="20"/>
      <c r="H905" s="20"/>
      <c r="I905" s="47"/>
      <c r="J905" s="2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5"/>
      <c r="C906" s="5"/>
      <c r="D906" s="5"/>
      <c r="E906" s="20"/>
      <c r="F906" s="20"/>
      <c r="G906" s="20"/>
      <c r="H906" s="20"/>
      <c r="I906" s="47"/>
      <c r="J906" s="2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5"/>
      <c r="C907" s="5"/>
      <c r="D907" s="5"/>
      <c r="E907" s="20"/>
      <c r="F907" s="20"/>
      <c r="G907" s="20"/>
      <c r="H907" s="20"/>
      <c r="I907" s="47"/>
      <c r="J907" s="2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5"/>
      <c r="C908" s="5"/>
      <c r="D908" s="5"/>
      <c r="E908" s="20"/>
      <c r="F908" s="20"/>
      <c r="G908" s="20"/>
      <c r="H908" s="20"/>
      <c r="I908" s="47"/>
      <c r="J908" s="2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5"/>
      <c r="C909" s="5"/>
      <c r="D909" s="5"/>
      <c r="E909" s="20"/>
      <c r="F909" s="20"/>
      <c r="G909" s="20"/>
      <c r="H909" s="20"/>
      <c r="I909" s="47"/>
      <c r="J909" s="2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5"/>
      <c r="C910" s="5"/>
      <c r="D910" s="5"/>
      <c r="E910" s="20"/>
      <c r="F910" s="20"/>
      <c r="G910" s="20"/>
      <c r="H910" s="20"/>
      <c r="I910" s="47"/>
      <c r="J910" s="2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5"/>
      <c r="C911" s="5"/>
      <c r="D911" s="5"/>
      <c r="E911" s="20"/>
      <c r="F911" s="20"/>
      <c r="G911" s="20"/>
      <c r="H911" s="20"/>
      <c r="I911" s="47"/>
      <c r="J911" s="2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5"/>
      <c r="C912" s="5"/>
      <c r="D912" s="5"/>
      <c r="E912" s="20"/>
      <c r="F912" s="20"/>
      <c r="G912" s="20"/>
      <c r="H912" s="20"/>
      <c r="I912" s="47"/>
      <c r="J912" s="2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5"/>
      <c r="C913" s="5"/>
      <c r="D913" s="5"/>
      <c r="E913" s="20"/>
      <c r="F913" s="20"/>
      <c r="G913" s="20"/>
      <c r="H913" s="20"/>
      <c r="I913" s="47"/>
      <c r="J913" s="2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5"/>
      <c r="C914" s="5"/>
      <c r="D914" s="5"/>
      <c r="E914" s="20"/>
      <c r="F914" s="20"/>
      <c r="G914" s="20"/>
      <c r="H914" s="20"/>
      <c r="I914" s="47"/>
      <c r="J914" s="2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5"/>
      <c r="C915" s="5"/>
      <c r="D915" s="5"/>
      <c r="E915" s="20"/>
      <c r="F915" s="20"/>
      <c r="G915" s="20"/>
      <c r="H915" s="20"/>
      <c r="I915" s="47"/>
      <c r="J915" s="2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5"/>
      <c r="C916" s="5"/>
      <c r="D916" s="5"/>
      <c r="E916" s="20"/>
      <c r="F916" s="20"/>
      <c r="G916" s="20"/>
      <c r="H916" s="20"/>
      <c r="I916" s="47"/>
      <c r="J916" s="2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5"/>
      <c r="C917" s="5"/>
      <c r="D917" s="5"/>
      <c r="E917" s="20"/>
      <c r="F917" s="20"/>
      <c r="G917" s="20"/>
      <c r="H917" s="20"/>
      <c r="I917" s="47"/>
      <c r="J917" s="2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5"/>
      <c r="C918" s="5"/>
      <c r="D918" s="5"/>
      <c r="E918" s="20"/>
      <c r="F918" s="20"/>
      <c r="G918" s="20"/>
      <c r="H918" s="20"/>
      <c r="I918" s="47"/>
      <c r="J918" s="2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5"/>
      <c r="C919" s="5"/>
      <c r="D919" s="5"/>
      <c r="E919" s="20"/>
      <c r="F919" s="20"/>
      <c r="G919" s="20"/>
      <c r="H919" s="20"/>
      <c r="I919" s="47"/>
      <c r="J919" s="2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5"/>
      <c r="C920" s="5"/>
      <c r="D920" s="5"/>
      <c r="E920" s="20"/>
      <c r="F920" s="20"/>
      <c r="G920" s="20"/>
      <c r="H920" s="20"/>
      <c r="I920" s="47"/>
      <c r="J920" s="2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5"/>
      <c r="C921" s="5"/>
      <c r="D921" s="5"/>
      <c r="E921" s="20"/>
      <c r="F921" s="20"/>
      <c r="G921" s="20"/>
      <c r="H921" s="20"/>
      <c r="I921" s="47"/>
      <c r="J921" s="2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5"/>
      <c r="C922" s="5"/>
      <c r="D922" s="5"/>
      <c r="E922" s="20"/>
      <c r="F922" s="20"/>
      <c r="G922" s="20"/>
      <c r="H922" s="20"/>
      <c r="I922" s="47"/>
      <c r="J922" s="2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5"/>
      <c r="C923" s="5"/>
      <c r="D923" s="5"/>
      <c r="E923" s="20"/>
      <c r="F923" s="20"/>
      <c r="G923" s="20"/>
      <c r="H923" s="20"/>
      <c r="I923" s="47"/>
      <c r="J923" s="2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5"/>
      <c r="C924" s="5"/>
      <c r="D924" s="5"/>
      <c r="E924" s="20"/>
      <c r="F924" s="20"/>
      <c r="G924" s="20"/>
      <c r="H924" s="20"/>
      <c r="I924" s="47"/>
      <c r="J924" s="2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5"/>
      <c r="C925" s="5"/>
      <c r="D925" s="5"/>
      <c r="E925" s="20"/>
      <c r="F925" s="20"/>
      <c r="G925" s="20"/>
      <c r="H925" s="20"/>
      <c r="I925" s="47"/>
      <c r="J925" s="2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5"/>
      <c r="C926" s="5"/>
      <c r="D926" s="5"/>
      <c r="E926" s="20"/>
      <c r="F926" s="20"/>
      <c r="G926" s="20"/>
      <c r="H926" s="20"/>
      <c r="I926" s="47"/>
      <c r="J926" s="2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5"/>
      <c r="C927" s="5"/>
      <c r="D927" s="5"/>
      <c r="E927" s="20"/>
      <c r="F927" s="20"/>
      <c r="G927" s="20"/>
      <c r="H927" s="20"/>
      <c r="I927" s="47"/>
      <c r="J927" s="2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5"/>
      <c r="C928" s="5"/>
      <c r="D928" s="5"/>
      <c r="E928" s="20"/>
      <c r="F928" s="20"/>
      <c r="G928" s="20"/>
      <c r="H928" s="20"/>
      <c r="I928" s="47"/>
      <c r="J928" s="2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5"/>
      <c r="C929" s="5"/>
      <c r="D929" s="5"/>
      <c r="E929" s="20"/>
      <c r="F929" s="20"/>
      <c r="G929" s="20"/>
      <c r="H929" s="20"/>
      <c r="I929" s="47"/>
      <c r="J929" s="2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5"/>
      <c r="C930" s="5"/>
      <c r="D930" s="5"/>
      <c r="E930" s="20"/>
      <c r="F930" s="20"/>
      <c r="G930" s="20"/>
      <c r="H930" s="20"/>
      <c r="I930" s="47"/>
      <c r="J930" s="2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5"/>
      <c r="C931" s="5"/>
      <c r="D931" s="5"/>
      <c r="E931" s="20"/>
      <c r="F931" s="20"/>
      <c r="G931" s="20"/>
      <c r="H931" s="20"/>
      <c r="I931" s="47"/>
      <c r="J931" s="2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5"/>
      <c r="C932" s="5"/>
      <c r="D932" s="5"/>
      <c r="E932" s="20"/>
      <c r="F932" s="20"/>
      <c r="G932" s="20"/>
      <c r="H932" s="20"/>
      <c r="I932" s="47"/>
      <c r="J932" s="2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5"/>
      <c r="C933" s="5"/>
      <c r="D933" s="5"/>
      <c r="E933" s="20"/>
      <c r="F933" s="20"/>
      <c r="G933" s="20"/>
      <c r="H933" s="20"/>
      <c r="I933" s="47"/>
      <c r="J933" s="2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5"/>
      <c r="C934" s="5"/>
      <c r="D934" s="5"/>
      <c r="E934" s="20"/>
      <c r="F934" s="20"/>
      <c r="G934" s="20"/>
      <c r="H934" s="20"/>
      <c r="I934" s="47"/>
      <c r="J934" s="2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5"/>
      <c r="C935" s="5"/>
      <c r="D935" s="5"/>
      <c r="E935" s="20"/>
      <c r="F935" s="20"/>
      <c r="G935" s="20"/>
      <c r="H935" s="20"/>
      <c r="I935" s="47"/>
      <c r="J935" s="2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5"/>
      <c r="C936" s="5"/>
      <c r="D936" s="5"/>
      <c r="E936" s="20"/>
      <c r="F936" s="20"/>
      <c r="G936" s="20"/>
      <c r="H936" s="20"/>
      <c r="I936" s="47"/>
      <c r="J936" s="2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5"/>
      <c r="C937" s="5"/>
      <c r="D937" s="5"/>
      <c r="E937" s="20"/>
      <c r="F937" s="20"/>
      <c r="G937" s="20"/>
      <c r="H937" s="20"/>
      <c r="I937" s="47"/>
      <c r="J937" s="2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5"/>
      <c r="C938" s="5"/>
      <c r="D938" s="5"/>
      <c r="E938" s="20"/>
      <c r="F938" s="20"/>
      <c r="G938" s="20"/>
      <c r="H938" s="20"/>
      <c r="I938" s="47"/>
      <c r="J938" s="2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5"/>
      <c r="C939" s="5"/>
      <c r="D939" s="5"/>
      <c r="E939" s="20"/>
      <c r="F939" s="20"/>
      <c r="G939" s="20"/>
      <c r="H939" s="20"/>
      <c r="I939" s="47"/>
      <c r="J939" s="2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5"/>
      <c r="C940" s="5"/>
      <c r="D940" s="5"/>
      <c r="E940" s="20"/>
      <c r="F940" s="20"/>
      <c r="G940" s="20"/>
      <c r="H940" s="20"/>
      <c r="I940" s="47"/>
      <c r="J940" s="2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5"/>
      <c r="C941" s="5"/>
      <c r="D941" s="5"/>
      <c r="E941" s="20"/>
      <c r="F941" s="20"/>
      <c r="G941" s="20"/>
      <c r="H941" s="20"/>
      <c r="I941" s="47"/>
      <c r="J941" s="2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5"/>
      <c r="C942" s="5"/>
      <c r="D942" s="5"/>
      <c r="E942" s="20"/>
      <c r="F942" s="20"/>
      <c r="G942" s="20"/>
      <c r="H942" s="20"/>
      <c r="I942" s="47"/>
      <c r="J942" s="2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5"/>
      <c r="C943" s="5"/>
      <c r="D943" s="5"/>
      <c r="E943" s="20"/>
      <c r="F943" s="20"/>
      <c r="G943" s="20"/>
      <c r="H943" s="20"/>
      <c r="I943" s="47"/>
      <c r="J943" s="2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5"/>
      <c r="C944" s="5"/>
      <c r="D944" s="5"/>
      <c r="E944" s="20"/>
      <c r="F944" s="20"/>
      <c r="G944" s="20"/>
      <c r="H944" s="20"/>
      <c r="I944" s="47"/>
      <c r="J944" s="2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5"/>
      <c r="C945" s="5"/>
      <c r="D945" s="5"/>
      <c r="E945" s="20"/>
      <c r="F945" s="20"/>
      <c r="G945" s="20"/>
      <c r="H945" s="20"/>
      <c r="I945" s="47"/>
      <c r="J945" s="2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5"/>
      <c r="C946" s="5"/>
      <c r="D946" s="5"/>
      <c r="E946" s="20"/>
      <c r="F946" s="20"/>
      <c r="G946" s="20"/>
      <c r="H946" s="20"/>
      <c r="I946" s="47"/>
      <c r="J946" s="2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5"/>
      <c r="C947" s="5"/>
      <c r="D947" s="5"/>
      <c r="E947" s="20"/>
      <c r="F947" s="20"/>
      <c r="G947" s="20"/>
      <c r="H947" s="20"/>
      <c r="I947" s="47"/>
      <c r="J947" s="2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5"/>
      <c r="C948" s="5"/>
      <c r="D948" s="5"/>
      <c r="E948" s="20"/>
      <c r="F948" s="20"/>
      <c r="G948" s="20"/>
      <c r="H948" s="20"/>
      <c r="I948" s="47"/>
      <c r="J948" s="2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5"/>
      <c r="C949" s="5"/>
      <c r="D949" s="5"/>
      <c r="E949" s="20"/>
      <c r="F949" s="20"/>
      <c r="G949" s="20"/>
      <c r="H949" s="20"/>
      <c r="I949" s="47"/>
      <c r="J949" s="2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5"/>
      <c r="C950" s="5"/>
      <c r="D950" s="5"/>
      <c r="E950" s="20"/>
      <c r="F950" s="20"/>
      <c r="G950" s="20"/>
      <c r="H950" s="20"/>
      <c r="I950" s="47"/>
      <c r="J950" s="2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5"/>
      <c r="C951" s="5"/>
      <c r="D951" s="5"/>
      <c r="E951" s="20"/>
      <c r="F951" s="20"/>
      <c r="G951" s="20"/>
      <c r="H951" s="20"/>
      <c r="I951" s="47"/>
      <c r="J951" s="2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5"/>
      <c r="C952" s="5"/>
      <c r="D952" s="5"/>
      <c r="E952" s="20"/>
      <c r="F952" s="20"/>
      <c r="G952" s="20"/>
      <c r="H952" s="20"/>
      <c r="I952" s="47"/>
      <c r="J952" s="2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5"/>
      <c r="C953" s="5"/>
      <c r="D953" s="5"/>
      <c r="E953" s="20"/>
      <c r="F953" s="20"/>
      <c r="G953" s="20"/>
      <c r="H953" s="20"/>
      <c r="I953" s="47"/>
      <c r="J953" s="2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5"/>
      <c r="C954" s="5"/>
      <c r="D954" s="5"/>
      <c r="E954" s="20"/>
      <c r="F954" s="20"/>
      <c r="G954" s="20"/>
      <c r="H954" s="20"/>
      <c r="I954" s="47"/>
      <c r="J954" s="2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5"/>
      <c r="C955" s="5"/>
      <c r="D955" s="5"/>
      <c r="E955" s="20"/>
      <c r="F955" s="20"/>
      <c r="G955" s="20"/>
      <c r="H955" s="20"/>
      <c r="I955" s="47"/>
      <c r="J955" s="2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5"/>
      <c r="C956" s="5"/>
      <c r="D956" s="5"/>
      <c r="E956" s="20"/>
      <c r="F956" s="20"/>
      <c r="G956" s="20"/>
      <c r="H956" s="20"/>
      <c r="I956" s="47"/>
      <c r="J956" s="2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5"/>
      <c r="C957" s="5"/>
      <c r="D957" s="5"/>
      <c r="E957" s="20"/>
      <c r="F957" s="20"/>
      <c r="G957" s="20"/>
      <c r="H957" s="20"/>
      <c r="I957" s="47"/>
      <c r="J957" s="2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5"/>
      <c r="C958" s="5"/>
      <c r="D958" s="5"/>
      <c r="E958" s="20"/>
      <c r="F958" s="20"/>
      <c r="G958" s="20"/>
      <c r="H958" s="20"/>
      <c r="I958" s="47"/>
      <c r="J958" s="2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5"/>
      <c r="C959" s="5"/>
      <c r="D959" s="5"/>
      <c r="E959" s="20"/>
      <c r="F959" s="20"/>
      <c r="G959" s="20"/>
      <c r="H959" s="20"/>
      <c r="I959" s="47"/>
      <c r="J959" s="2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5"/>
      <c r="C960" s="5"/>
      <c r="D960" s="5"/>
      <c r="E960" s="20"/>
      <c r="F960" s="20"/>
      <c r="G960" s="20"/>
      <c r="H960" s="20"/>
      <c r="I960" s="47"/>
      <c r="J960" s="2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5"/>
      <c r="C961" s="5"/>
      <c r="D961" s="5"/>
      <c r="E961" s="20"/>
      <c r="F961" s="20"/>
      <c r="G961" s="20"/>
      <c r="H961" s="20"/>
      <c r="I961" s="47"/>
      <c r="J961" s="2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5"/>
      <c r="C962" s="5"/>
      <c r="D962" s="5"/>
      <c r="E962" s="20"/>
      <c r="F962" s="20"/>
      <c r="G962" s="20"/>
      <c r="H962" s="20"/>
      <c r="I962" s="47"/>
      <c r="J962" s="2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5"/>
      <c r="C963" s="5"/>
      <c r="D963" s="5"/>
      <c r="E963" s="20"/>
      <c r="F963" s="20"/>
      <c r="G963" s="20"/>
      <c r="H963" s="20"/>
      <c r="I963" s="47"/>
      <c r="J963" s="2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5"/>
      <c r="C964" s="5"/>
      <c r="D964" s="5"/>
      <c r="E964" s="20"/>
      <c r="F964" s="20"/>
      <c r="G964" s="20"/>
      <c r="H964" s="20"/>
      <c r="I964" s="47"/>
      <c r="J964" s="2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5"/>
      <c r="C965" s="5"/>
      <c r="D965" s="5"/>
      <c r="E965" s="20"/>
      <c r="F965" s="20"/>
      <c r="G965" s="20"/>
      <c r="H965" s="20"/>
      <c r="I965" s="47"/>
      <c r="J965" s="2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5"/>
      <c r="C966" s="5"/>
      <c r="D966" s="5"/>
      <c r="E966" s="20"/>
      <c r="F966" s="20"/>
      <c r="G966" s="20"/>
      <c r="H966" s="20"/>
      <c r="I966" s="47"/>
      <c r="J966" s="2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5"/>
      <c r="C967" s="5"/>
      <c r="D967" s="5"/>
      <c r="E967" s="20"/>
      <c r="F967" s="20"/>
      <c r="G967" s="20"/>
      <c r="H967" s="20"/>
      <c r="I967" s="47"/>
      <c r="J967" s="2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5"/>
      <c r="C968" s="5"/>
      <c r="D968" s="5"/>
      <c r="E968" s="20"/>
      <c r="F968" s="20"/>
      <c r="G968" s="20"/>
      <c r="H968" s="20"/>
      <c r="I968" s="47"/>
      <c r="J968" s="2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5"/>
      <c r="C969" s="5"/>
      <c r="D969" s="5"/>
      <c r="E969" s="20"/>
      <c r="F969" s="20"/>
      <c r="G969" s="20"/>
      <c r="H969" s="20"/>
      <c r="I969" s="47"/>
      <c r="J969" s="2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5"/>
      <c r="C970" s="5"/>
      <c r="D970" s="5"/>
      <c r="E970" s="20"/>
      <c r="F970" s="20"/>
      <c r="G970" s="20"/>
      <c r="H970" s="20"/>
      <c r="I970" s="47"/>
      <c r="J970" s="2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5"/>
      <c r="C971" s="5"/>
      <c r="D971" s="5"/>
      <c r="E971" s="20"/>
      <c r="F971" s="20"/>
      <c r="G971" s="20"/>
      <c r="H971" s="20"/>
      <c r="I971" s="47"/>
      <c r="J971" s="2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5"/>
      <c r="C972" s="5"/>
      <c r="D972" s="5"/>
      <c r="E972" s="20"/>
      <c r="F972" s="20"/>
      <c r="G972" s="20"/>
      <c r="H972" s="20"/>
      <c r="I972" s="47"/>
      <c r="J972" s="2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5"/>
      <c r="C973" s="5"/>
      <c r="D973" s="5"/>
      <c r="E973" s="20"/>
      <c r="F973" s="20"/>
      <c r="G973" s="20"/>
      <c r="H973" s="20"/>
      <c r="I973" s="47"/>
      <c r="J973" s="2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5"/>
      <c r="C974" s="5"/>
      <c r="D974" s="5"/>
      <c r="E974" s="20"/>
      <c r="F974" s="20"/>
      <c r="G974" s="20"/>
      <c r="H974" s="20"/>
      <c r="I974" s="47"/>
      <c r="J974" s="2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5"/>
      <c r="C975" s="5"/>
      <c r="D975" s="5"/>
      <c r="E975" s="20"/>
      <c r="F975" s="20"/>
      <c r="G975" s="20"/>
      <c r="H975" s="20"/>
      <c r="I975" s="47"/>
      <c r="J975" s="2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5"/>
      <c r="C976" s="5"/>
      <c r="D976" s="5"/>
      <c r="E976" s="20"/>
      <c r="F976" s="20"/>
      <c r="G976" s="20"/>
      <c r="H976" s="20"/>
      <c r="I976" s="47"/>
      <c r="J976" s="2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5"/>
      <c r="C977" s="5"/>
      <c r="D977" s="5"/>
      <c r="E977" s="20"/>
      <c r="F977" s="20"/>
      <c r="G977" s="20"/>
      <c r="H977" s="20"/>
      <c r="I977" s="47"/>
      <c r="J977" s="2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5"/>
      <c r="C978" s="5"/>
      <c r="D978" s="5"/>
      <c r="E978" s="20"/>
      <c r="F978" s="20"/>
      <c r="G978" s="20"/>
      <c r="H978" s="20"/>
      <c r="I978" s="47"/>
      <c r="J978" s="2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5"/>
      <c r="C979" s="5"/>
      <c r="D979" s="5"/>
      <c r="E979" s="20"/>
      <c r="F979" s="20"/>
      <c r="G979" s="20"/>
      <c r="H979" s="20"/>
      <c r="I979" s="47"/>
      <c r="J979" s="2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5"/>
      <c r="C980" s="5"/>
      <c r="D980" s="5"/>
      <c r="E980" s="20"/>
      <c r="F980" s="20"/>
      <c r="G980" s="20"/>
      <c r="H980" s="20"/>
      <c r="I980" s="47"/>
      <c r="J980" s="2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5"/>
      <c r="C981" s="5"/>
      <c r="D981" s="5"/>
      <c r="E981" s="20"/>
      <c r="F981" s="20"/>
      <c r="G981" s="20"/>
      <c r="H981" s="20"/>
      <c r="I981" s="47"/>
      <c r="J981" s="2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5"/>
      <c r="C982" s="5"/>
      <c r="D982" s="5"/>
      <c r="E982" s="20"/>
      <c r="F982" s="20"/>
      <c r="G982" s="20"/>
      <c r="H982" s="20"/>
      <c r="I982" s="47"/>
      <c r="J982" s="2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5"/>
      <c r="C983" s="5"/>
      <c r="D983" s="5"/>
      <c r="E983" s="20"/>
      <c r="F983" s="20"/>
      <c r="G983" s="20"/>
      <c r="H983" s="20"/>
      <c r="I983" s="47"/>
      <c r="J983" s="2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5"/>
      <c r="C984" s="5"/>
      <c r="D984" s="5"/>
      <c r="E984" s="20"/>
      <c r="F984" s="20"/>
      <c r="G984" s="20"/>
      <c r="H984" s="20"/>
      <c r="I984" s="47"/>
      <c r="J984" s="2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5"/>
      <c r="C985" s="5"/>
      <c r="D985" s="5"/>
      <c r="E985" s="20"/>
      <c r="F985" s="20"/>
      <c r="G985" s="20"/>
      <c r="H985" s="20"/>
      <c r="I985" s="47"/>
      <c r="J985" s="2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5"/>
      <c r="C986" s="5"/>
      <c r="D986" s="5"/>
      <c r="E986" s="20"/>
      <c r="F986" s="20"/>
      <c r="G986" s="20"/>
      <c r="H986" s="20"/>
      <c r="I986" s="47"/>
      <c r="J986" s="2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5"/>
      <c r="C987" s="5"/>
      <c r="D987" s="5"/>
      <c r="E987" s="20"/>
      <c r="F987" s="20"/>
      <c r="G987" s="20"/>
      <c r="H987" s="20"/>
      <c r="I987" s="47"/>
      <c r="J987" s="2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5"/>
      <c r="C988" s="5"/>
      <c r="D988" s="5"/>
      <c r="E988" s="20"/>
      <c r="F988" s="20"/>
      <c r="G988" s="20"/>
      <c r="H988" s="20"/>
      <c r="I988" s="47"/>
      <c r="J988" s="2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5"/>
      <c r="C989" s="5"/>
      <c r="D989" s="5"/>
      <c r="E989" s="20"/>
      <c r="F989" s="20"/>
      <c r="G989" s="20"/>
      <c r="H989" s="20"/>
      <c r="I989" s="47"/>
      <c r="J989" s="2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5"/>
      <c r="C990" s="5"/>
      <c r="D990" s="5"/>
      <c r="E990" s="20"/>
      <c r="F990" s="20"/>
      <c r="G990" s="20"/>
      <c r="H990" s="20"/>
      <c r="I990" s="47"/>
      <c r="J990" s="2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5"/>
      <c r="C991" s="5"/>
      <c r="D991" s="5"/>
      <c r="E991" s="20"/>
      <c r="F991" s="20"/>
      <c r="G991" s="20"/>
      <c r="H991" s="20"/>
      <c r="I991" s="47"/>
      <c r="J991" s="2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5"/>
      <c r="C992" s="5"/>
      <c r="D992" s="5"/>
      <c r="E992" s="20"/>
      <c r="F992" s="20"/>
      <c r="G992" s="20"/>
      <c r="H992" s="20"/>
      <c r="I992" s="47"/>
      <c r="J992" s="2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5"/>
      <c r="C993" s="5"/>
      <c r="D993" s="5"/>
      <c r="E993" s="20"/>
      <c r="F993" s="20"/>
      <c r="G993" s="20"/>
      <c r="H993" s="20"/>
      <c r="I993" s="47"/>
      <c r="J993" s="2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5"/>
      <c r="C994" s="5"/>
      <c r="D994" s="5"/>
      <c r="E994" s="20"/>
      <c r="F994" s="20"/>
      <c r="G994" s="20"/>
      <c r="H994" s="20"/>
      <c r="I994" s="47"/>
      <c r="J994" s="2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5"/>
      <c r="C995" s="5"/>
      <c r="D995" s="5"/>
      <c r="E995" s="20"/>
      <c r="F995" s="20"/>
      <c r="G995" s="20"/>
      <c r="H995" s="20"/>
      <c r="I995" s="47"/>
      <c r="J995" s="2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5"/>
      <c r="C996" s="5"/>
      <c r="D996" s="5"/>
      <c r="E996" s="20"/>
      <c r="F996" s="20"/>
      <c r="G996" s="20"/>
      <c r="H996" s="20"/>
      <c r="I996" s="47"/>
      <c r="J996" s="2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5"/>
      <c r="C997" s="5"/>
      <c r="D997" s="5"/>
      <c r="E997" s="20"/>
      <c r="F997" s="20"/>
      <c r="G997" s="20"/>
      <c r="H997" s="20"/>
      <c r="I997" s="47"/>
      <c r="J997" s="2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5"/>
      <c r="C998" s="5"/>
      <c r="D998" s="5"/>
      <c r="E998" s="20"/>
      <c r="F998" s="20"/>
      <c r="G998" s="20"/>
      <c r="H998" s="20"/>
      <c r="I998" s="47"/>
      <c r="J998" s="2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5"/>
      <c r="C999" s="5"/>
      <c r="D999" s="5"/>
      <c r="E999" s="20"/>
      <c r="F999" s="20"/>
      <c r="G999" s="20"/>
      <c r="H999" s="20"/>
      <c r="I999" s="47"/>
      <c r="J999" s="2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5"/>
      <c r="C1000" s="5"/>
      <c r="D1000" s="5"/>
      <c r="E1000" s="20"/>
      <c r="F1000" s="20"/>
      <c r="G1000" s="20"/>
      <c r="H1000" s="20"/>
      <c r="I1000" s="47"/>
      <c r="J1000" s="20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63"/>
    <col customWidth="1" min="2" max="2" width="7.13"/>
    <col customWidth="1" min="3" max="3" width="3.88"/>
    <col customWidth="1" min="4" max="4" width="10.63"/>
    <col customWidth="1" min="5" max="6" width="10.5"/>
    <col customWidth="1" min="7" max="9" width="7.75"/>
    <col customWidth="1" min="10" max="10" width="10.5"/>
    <col customWidth="1" min="11" max="11" width="15.88"/>
    <col customWidth="1" min="12" max="26" width="7.75"/>
  </cols>
  <sheetData>
    <row r="1" ht="18.75" customHeight="1">
      <c r="A1" s="48" t="s">
        <v>135</v>
      </c>
      <c r="B1" s="49"/>
      <c r="C1" s="50"/>
      <c r="D1" s="50"/>
      <c r="E1" s="2"/>
      <c r="F1" s="2"/>
      <c r="G1" s="2"/>
      <c r="H1" s="2"/>
      <c r="I1" s="2"/>
      <c r="J1" s="2"/>
      <c r="K1" s="2"/>
      <c r="L1" s="2"/>
      <c r="M1" s="2"/>
      <c r="N1" s="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1" t="s">
        <v>1</v>
      </c>
      <c r="B2" s="51" t="s">
        <v>2</v>
      </c>
      <c r="C2" s="52" t="s">
        <v>2</v>
      </c>
      <c r="D2" s="52" t="s">
        <v>2</v>
      </c>
      <c r="E2" s="1" t="s">
        <v>136</v>
      </c>
      <c r="F2" s="2" t="s">
        <v>137</v>
      </c>
      <c r="G2" s="2" t="s">
        <v>4</v>
      </c>
      <c r="H2" s="2" t="s">
        <v>6</v>
      </c>
      <c r="I2" s="2" t="s">
        <v>8</v>
      </c>
      <c r="J2" s="2"/>
      <c r="K2" s="2"/>
      <c r="L2" s="2">
        <v>2018.0</v>
      </c>
      <c r="M2" s="2">
        <v>2019.0</v>
      </c>
      <c r="N2" s="2">
        <v>2020.0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2">
        <v>1.0</v>
      </c>
      <c r="B3" s="49">
        <v>2017.0</v>
      </c>
      <c r="C3" s="50">
        <v>5.0</v>
      </c>
      <c r="D3" s="52" t="s">
        <v>138</v>
      </c>
      <c r="E3" s="2">
        <v>116.896</v>
      </c>
      <c r="F3" s="2"/>
      <c r="G3" s="2"/>
      <c r="H3" s="2"/>
      <c r="I3" s="2"/>
      <c r="J3" s="2"/>
      <c r="K3" s="2"/>
      <c r="L3" s="2">
        <v>1475.406</v>
      </c>
      <c r="M3" s="2">
        <v>1577.134</v>
      </c>
      <c r="N3" s="2">
        <v>1177.7440000000001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2">
        <v>2.0</v>
      </c>
      <c r="B4" s="49">
        <v>2017.0</v>
      </c>
      <c r="C4" s="50">
        <v>6.0</v>
      </c>
      <c r="D4" s="52" t="s">
        <v>139</v>
      </c>
      <c r="E4" s="2"/>
      <c r="F4" s="2"/>
      <c r="G4" s="2"/>
      <c r="H4" s="2"/>
      <c r="I4" s="2"/>
      <c r="J4" s="2"/>
      <c r="K4" s="2"/>
      <c r="L4" s="2"/>
      <c r="M4" s="2"/>
      <c r="N4" s="53">
        <f>1-N3/M3</f>
        <v>0.2532378352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2">
        <v>3.0</v>
      </c>
      <c r="B5" s="49">
        <v>2017.0</v>
      </c>
      <c r="C5" s="50">
        <v>7.0</v>
      </c>
      <c r="D5" s="52" t="s">
        <v>140</v>
      </c>
      <c r="E5" s="2"/>
      <c r="F5" s="2"/>
      <c r="G5" s="2"/>
      <c r="H5" s="2"/>
      <c r="I5" s="2"/>
      <c r="J5" s="2"/>
      <c r="K5" s="2"/>
      <c r="L5" s="2"/>
      <c r="M5" s="2"/>
      <c r="N5" s="2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2">
        <v>4.0</v>
      </c>
      <c r="B6" s="49">
        <v>2017.0</v>
      </c>
      <c r="C6" s="50">
        <v>8.0</v>
      </c>
      <c r="D6" s="52" t="s">
        <v>141</v>
      </c>
      <c r="E6" s="2">
        <v>107.91</v>
      </c>
      <c r="F6" s="2"/>
      <c r="G6" s="2"/>
      <c r="H6" s="2"/>
      <c r="I6" s="2"/>
      <c r="J6" s="2"/>
      <c r="K6" s="2"/>
      <c r="L6" s="2"/>
      <c r="M6" s="2"/>
      <c r="N6" s="2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2">
        <v>5.0</v>
      </c>
      <c r="B7" s="49">
        <v>2017.0</v>
      </c>
      <c r="C7" s="50">
        <v>9.0</v>
      </c>
      <c r="D7" s="52" t="s">
        <v>142</v>
      </c>
      <c r="E7" s="2">
        <v>101.436</v>
      </c>
      <c r="F7" s="2"/>
      <c r="G7" s="2"/>
      <c r="H7" s="2"/>
      <c r="I7" s="2"/>
      <c r="J7" s="2"/>
      <c r="K7" s="2"/>
      <c r="L7" s="2"/>
      <c r="M7" s="2"/>
      <c r="N7" s="2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2">
        <v>6.0</v>
      </c>
      <c r="B8" s="49">
        <v>2017.0</v>
      </c>
      <c r="C8" s="50">
        <v>10.0</v>
      </c>
      <c r="D8" s="52" t="s">
        <v>143</v>
      </c>
      <c r="E8" s="2"/>
      <c r="F8" s="2"/>
      <c r="G8" s="2"/>
      <c r="H8" s="2"/>
      <c r="I8" s="2"/>
      <c r="J8" s="2"/>
      <c r="K8" s="2"/>
      <c r="L8" s="2"/>
      <c r="M8" s="2"/>
      <c r="N8" s="2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2">
        <v>7.0</v>
      </c>
      <c r="B9" s="49">
        <v>2017.0</v>
      </c>
      <c r="C9" s="50">
        <v>11.0</v>
      </c>
      <c r="D9" s="52" t="s">
        <v>144</v>
      </c>
      <c r="E9" s="2"/>
      <c r="F9" s="2"/>
      <c r="G9" s="2"/>
      <c r="H9" s="2"/>
      <c r="I9" s="2"/>
      <c r="J9" s="2"/>
      <c r="K9" s="2"/>
      <c r="L9" s="2"/>
      <c r="M9" s="2"/>
      <c r="N9" s="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2">
        <v>8.0</v>
      </c>
      <c r="B10" s="49">
        <v>2017.0</v>
      </c>
      <c r="C10" s="50">
        <v>12.0</v>
      </c>
      <c r="D10" s="52" t="s">
        <v>145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54">
        <v>9.0</v>
      </c>
      <c r="B11" s="55">
        <v>2018.0</v>
      </c>
      <c r="C11" s="56">
        <v>1.0</v>
      </c>
      <c r="D11" s="57" t="s">
        <v>18</v>
      </c>
      <c r="E11" s="58">
        <f>'使用量'!E12*Sheet2!$B$3+'使用量'!G12*Sheet2!$C$3+'使用量'!I12*Sheet2!$D$3</f>
        <v>161.849</v>
      </c>
      <c r="F11" s="59">
        <f t="shared" ref="F11:F74" si="1">SUM(G11:I11)</f>
        <v>10732.5</v>
      </c>
      <c r="G11" s="59">
        <f>'使用量'!F12</f>
        <v>4738</v>
      </c>
      <c r="H11" s="59">
        <f>'使用量'!H12</f>
        <v>4319</v>
      </c>
      <c r="I11" s="60">
        <f>'使用量'!J12</f>
        <v>1675.5</v>
      </c>
      <c r="J11" s="2"/>
      <c r="K11" s="2"/>
      <c r="L11" s="2"/>
      <c r="M11" s="2"/>
      <c r="N11" s="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54">
        <v>10.0</v>
      </c>
      <c r="B12" s="55">
        <v>2018.0</v>
      </c>
      <c r="C12" s="56">
        <v>2.0</v>
      </c>
      <c r="D12" s="57" t="s">
        <v>19</v>
      </c>
      <c r="E12" s="58">
        <f>'使用量'!E13*Sheet2!$B$3+'使用量'!G13*Sheet2!$C$3+'使用量'!I13*Sheet2!$D$3</f>
        <v>155.6</v>
      </c>
      <c r="F12" s="59">
        <f t="shared" si="1"/>
        <v>10539.5</v>
      </c>
      <c r="G12" s="59">
        <f>'使用量'!F13</f>
        <v>4521</v>
      </c>
      <c r="H12" s="59">
        <f>'使用量'!H13</f>
        <v>4200</v>
      </c>
      <c r="I12" s="60">
        <v>1818.5</v>
      </c>
      <c r="J12" s="2"/>
      <c r="K12" s="2"/>
      <c r="L12" s="2"/>
      <c r="M12" s="2"/>
      <c r="N12" s="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54">
        <v>11.0</v>
      </c>
      <c r="B13" s="55">
        <v>2018.0</v>
      </c>
      <c r="C13" s="56">
        <v>3.0</v>
      </c>
      <c r="D13" s="57" t="s">
        <v>20</v>
      </c>
      <c r="E13" s="58">
        <f>'使用量'!E14*Sheet2!$B$3+'使用量'!G14*Sheet2!$C$3+'使用量'!I14*Sheet2!$D$3</f>
        <v>132.298</v>
      </c>
      <c r="F13" s="59">
        <f t="shared" si="1"/>
        <v>9403.5</v>
      </c>
      <c r="G13" s="59">
        <f>'使用量'!F14</f>
        <v>3732</v>
      </c>
      <c r="H13" s="59">
        <f>'使用量'!H14</f>
        <v>3853</v>
      </c>
      <c r="I13" s="60">
        <v>1818.5</v>
      </c>
      <c r="J13" s="2"/>
      <c r="K13" s="2"/>
      <c r="L13" s="2"/>
      <c r="M13" s="2"/>
      <c r="N13" s="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54">
        <v>12.0</v>
      </c>
      <c r="B14" s="55">
        <v>2018.0</v>
      </c>
      <c r="C14" s="56">
        <v>4.0</v>
      </c>
      <c r="D14" s="57" t="s">
        <v>21</v>
      </c>
      <c r="E14" s="58">
        <f>'使用量'!E15*Sheet2!$B$3+'使用量'!G15*Sheet2!$C$3+'使用量'!I15*Sheet2!$D$3</f>
        <v>122.466</v>
      </c>
      <c r="F14" s="59">
        <f t="shared" si="1"/>
        <v>8821.5</v>
      </c>
      <c r="G14" s="59">
        <f>'使用量'!F15</f>
        <v>3332</v>
      </c>
      <c r="H14" s="59">
        <f>'使用量'!H15</f>
        <v>3885</v>
      </c>
      <c r="I14" s="60">
        <v>1604.5</v>
      </c>
      <c r="J14" s="2"/>
      <c r="K14" s="2"/>
      <c r="L14" s="2"/>
      <c r="M14" s="2"/>
      <c r="N14" s="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54">
        <v>13.0</v>
      </c>
      <c r="B15" s="55">
        <v>2018.0</v>
      </c>
      <c r="C15" s="56">
        <v>5.0</v>
      </c>
      <c r="D15" s="57" t="s">
        <v>22</v>
      </c>
      <c r="E15" s="58">
        <f>'使用量'!E16*Sheet2!$B$3+'使用量'!G16*Sheet2!$C$3+'使用量'!I16*Sheet2!$D$3</f>
        <v>104.408</v>
      </c>
      <c r="F15" s="59">
        <f t="shared" si="1"/>
        <v>7742.5</v>
      </c>
      <c r="G15" s="59">
        <f>'使用量'!F16</f>
        <v>3720</v>
      </c>
      <c r="H15" s="59">
        <f>'使用量'!H16</f>
        <v>2418</v>
      </c>
      <c r="I15" s="60">
        <v>1604.5</v>
      </c>
      <c r="J15" s="2"/>
      <c r="K15" s="2"/>
      <c r="L15" s="2"/>
      <c r="M15" s="2"/>
      <c r="N15" s="2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54">
        <v>14.0</v>
      </c>
      <c r="B16" s="55">
        <v>2018.0</v>
      </c>
      <c r="C16" s="56">
        <v>6.0</v>
      </c>
      <c r="D16" s="57" t="s">
        <v>23</v>
      </c>
      <c r="E16" s="58">
        <f>'使用量'!E17*Sheet2!$B$3+'使用量'!G17*Sheet2!$C$3+'使用量'!I17*Sheet2!$D$3</f>
        <v>99.845</v>
      </c>
      <c r="F16" s="59">
        <f t="shared" si="1"/>
        <v>7567.5</v>
      </c>
      <c r="G16" s="59">
        <f>'使用量'!F17</f>
        <v>3396</v>
      </c>
      <c r="H16" s="59">
        <f>'使用量'!H17</f>
        <v>2567</v>
      </c>
      <c r="I16" s="60">
        <v>1604.5</v>
      </c>
      <c r="J16" s="2"/>
      <c r="K16" s="2"/>
      <c r="L16" s="2"/>
      <c r="M16" s="2"/>
      <c r="N16" s="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4">
        <v>15.0</v>
      </c>
      <c r="B17" s="55">
        <v>2018.0</v>
      </c>
      <c r="C17" s="56">
        <v>7.0</v>
      </c>
      <c r="D17" s="57" t="s">
        <v>24</v>
      </c>
      <c r="E17" s="58">
        <f>'使用量'!E18*Sheet2!$B$3+'使用量'!G18*Sheet2!$C$3+'使用量'!I18*Sheet2!$D$3</f>
        <v>125.122</v>
      </c>
      <c r="F17" s="59">
        <f t="shared" si="1"/>
        <v>8826.5</v>
      </c>
      <c r="G17" s="59">
        <f>'使用量'!F18</f>
        <v>4928</v>
      </c>
      <c r="H17" s="59">
        <f>'使用量'!H18</f>
        <v>2294</v>
      </c>
      <c r="I17" s="60">
        <v>1604.5</v>
      </c>
      <c r="J17" s="2"/>
      <c r="K17" s="2"/>
      <c r="L17" s="2"/>
      <c r="M17" s="2"/>
      <c r="N17" s="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54">
        <v>16.0</v>
      </c>
      <c r="B18" s="55">
        <v>2018.0</v>
      </c>
      <c r="C18" s="56">
        <v>8.0</v>
      </c>
      <c r="D18" s="57" t="s">
        <v>25</v>
      </c>
      <c r="E18" s="58">
        <f>'使用量'!E19*Sheet2!$B$3+'使用量'!G19*Sheet2!$C$3+'使用量'!I19*Sheet2!$D$3</f>
        <v>129.178</v>
      </c>
      <c r="F18" s="59">
        <f t="shared" si="1"/>
        <v>8979.5</v>
      </c>
      <c r="G18" s="59">
        <f>'使用量'!F19</f>
        <v>5656</v>
      </c>
      <c r="H18" s="59">
        <f>'使用量'!H19</f>
        <v>1743</v>
      </c>
      <c r="I18" s="60">
        <v>1580.5</v>
      </c>
      <c r="J18" s="2"/>
      <c r="K18" s="2"/>
      <c r="L18" s="2"/>
      <c r="M18" s="2"/>
      <c r="N18" s="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4">
        <v>17.0</v>
      </c>
      <c r="B19" s="55">
        <v>2018.0</v>
      </c>
      <c r="C19" s="56">
        <v>9.0</v>
      </c>
      <c r="D19" s="57" t="s">
        <v>26</v>
      </c>
      <c r="E19" s="58">
        <f>'使用量'!E20*Sheet2!$B$3+'使用量'!G20*Sheet2!$C$3+'使用量'!I20*Sheet2!$D$3</f>
        <v>122.783</v>
      </c>
      <c r="F19" s="59">
        <f t="shared" si="1"/>
        <v>8780.5</v>
      </c>
      <c r="G19" s="59">
        <f>'使用量'!F20</f>
        <v>5030</v>
      </c>
      <c r="H19" s="59">
        <f>'使用量'!H20</f>
        <v>2170</v>
      </c>
      <c r="I19" s="60">
        <v>1580.5</v>
      </c>
      <c r="J19" s="2"/>
      <c r="K19" s="2"/>
      <c r="L19" s="2"/>
      <c r="M19" s="2"/>
      <c r="N19" s="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4">
        <v>18.0</v>
      </c>
      <c r="B20" s="55">
        <v>2018.0</v>
      </c>
      <c r="C20" s="56">
        <v>10.0</v>
      </c>
      <c r="D20" s="57" t="s">
        <v>27</v>
      </c>
      <c r="E20" s="58">
        <f>'使用量'!E21*Sheet2!$B$3+'使用量'!G21*Sheet2!$C$3+'使用量'!I21*Sheet2!$D$3</f>
        <v>105.831</v>
      </c>
      <c r="F20" s="59">
        <f t="shared" si="1"/>
        <v>8157</v>
      </c>
      <c r="G20" s="59">
        <f>'使用量'!F21</f>
        <v>3662</v>
      </c>
      <c r="H20" s="59">
        <f>'使用量'!H21</f>
        <v>2748</v>
      </c>
      <c r="I20" s="60">
        <v>1747.0</v>
      </c>
      <c r="J20" s="2"/>
      <c r="K20" s="2"/>
      <c r="L20" s="2"/>
      <c r="M20" s="2"/>
      <c r="N20" s="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4">
        <v>19.0</v>
      </c>
      <c r="B21" s="55">
        <v>2018.0</v>
      </c>
      <c r="C21" s="56">
        <v>11.0</v>
      </c>
      <c r="D21" s="57" t="s">
        <v>28</v>
      </c>
      <c r="E21" s="58">
        <f>'使用量'!E22*Sheet2!$B$3+'使用量'!G22*Sheet2!$C$3+'使用量'!I22*Sheet2!$D$3</f>
        <v>114.94</v>
      </c>
      <c r="F21" s="59">
        <f t="shared" si="1"/>
        <v>8745</v>
      </c>
      <c r="G21" s="59">
        <f>'使用量'!F22</f>
        <v>3948</v>
      </c>
      <c r="H21" s="59">
        <f>'使用量'!H22</f>
        <v>3050</v>
      </c>
      <c r="I21" s="60">
        <v>1747.0</v>
      </c>
      <c r="J21" s="2"/>
      <c r="K21" s="2"/>
      <c r="L21" s="2"/>
      <c r="M21" s="2"/>
      <c r="N21" s="2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4">
        <v>20.0</v>
      </c>
      <c r="B22" s="55">
        <v>2018.0</v>
      </c>
      <c r="C22" s="56">
        <v>12.0</v>
      </c>
      <c r="D22" s="57" t="s">
        <v>29</v>
      </c>
      <c r="E22" s="58">
        <f>'使用量'!E23*Sheet2!$B$3+'使用量'!G23*Sheet2!$C$3+'使用量'!I23*Sheet2!$D$3</f>
        <v>137.441</v>
      </c>
      <c r="F22" s="59">
        <f t="shared" si="1"/>
        <v>10495.5</v>
      </c>
      <c r="G22" s="59">
        <f>'使用量'!F23</f>
        <v>4281</v>
      </c>
      <c r="H22" s="59">
        <f>'使用量'!H23</f>
        <v>4068</v>
      </c>
      <c r="I22" s="60">
        <v>2146.5</v>
      </c>
      <c r="J22" s="61" t="s">
        <v>146</v>
      </c>
      <c r="K22" s="2"/>
      <c r="L22" s="2"/>
      <c r="M22" s="2"/>
      <c r="N22" s="2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4">
        <v>21.0</v>
      </c>
      <c r="B23" s="55">
        <v>2019.0</v>
      </c>
      <c r="C23" s="56">
        <v>1.0</v>
      </c>
      <c r="D23" s="57" t="s">
        <v>30</v>
      </c>
      <c r="E23" s="58">
        <f>'使用量'!E24*Sheet2!$B$3+'使用量'!G24*Sheet2!$C$3+'使用量'!I24*Sheet2!$D$3</f>
        <v>182.717</v>
      </c>
      <c r="F23" s="59">
        <f t="shared" si="1"/>
        <v>13190.5</v>
      </c>
      <c r="G23" s="59">
        <f>'使用量'!F24</f>
        <v>5346</v>
      </c>
      <c r="H23" s="59">
        <f>'使用量'!H24</f>
        <v>5698</v>
      </c>
      <c r="I23" s="60">
        <v>2146.5</v>
      </c>
      <c r="J23" s="62">
        <f t="shared" ref="J23:K23" si="2">average(E11:E36)</f>
        <v>133.1391923</v>
      </c>
      <c r="K23" s="63">
        <f t="shared" si="2"/>
        <v>9494.461538</v>
      </c>
      <c r="L23" s="2"/>
      <c r="M23" s="2"/>
      <c r="N23" s="2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4">
        <v>22.0</v>
      </c>
      <c r="B24" s="55">
        <v>2019.0</v>
      </c>
      <c r="C24" s="56">
        <v>2.0</v>
      </c>
      <c r="D24" s="57" t="s">
        <v>31</v>
      </c>
      <c r="E24" s="58">
        <f>'使用量'!E25*Sheet2!$B$3+'使用量'!G25*Sheet2!$C$3+'使用量'!I25*Sheet2!$D$3</f>
        <v>143.169</v>
      </c>
      <c r="F24" s="59">
        <f t="shared" si="1"/>
        <v>10779.5</v>
      </c>
      <c r="G24" s="59">
        <f>'使用量'!F25</f>
        <v>4607</v>
      </c>
      <c r="H24" s="59">
        <f>'使用量'!H25</f>
        <v>4283</v>
      </c>
      <c r="I24" s="60">
        <v>1889.5</v>
      </c>
      <c r="J24" s="2"/>
      <c r="K24" s="2"/>
      <c r="L24" s="2"/>
      <c r="M24" s="2"/>
      <c r="N24" s="2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4">
        <v>23.0</v>
      </c>
      <c r="B25" s="55">
        <v>2019.0</v>
      </c>
      <c r="C25" s="56">
        <v>3.0</v>
      </c>
      <c r="D25" s="57" t="s">
        <v>32</v>
      </c>
      <c r="E25" s="58">
        <f>'使用量'!E26*Sheet2!$B$3+'使用量'!G26*Sheet2!$C$3+'使用量'!I26*Sheet2!$D$3</f>
        <v>129.623</v>
      </c>
      <c r="F25" s="59">
        <f t="shared" si="1"/>
        <v>9496.5</v>
      </c>
      <c r="G25" s="59">
        <f>'使用量'!F26</f>
        <v>3303</v>
      </c>
      <c r="H25" s="59">
        <f>'使用量'!H26</f>
        <v>4304</v>
      </c>
      <c r="I25" s="60">
        <v>1889.5</v>
      </c>
      <c r="J25" s="2"/>
      <c r="K25" s="2"/>
      <c r="L25" s="2"/>
      <c r="M25" s="2"/>
      <c r="N25" s="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4">
        <v>24.0</v>
      </c>
      <c r="B26" s="55">
        <v>2019.0</v>
      </c>
      <c r="C26" s="56">
        <v>4.0</v>
      </c>
      <c r="D26" s="57" t="s">
        <v>33</v>
      </c>
      <c r="E26" s="58">
        <f>'使用量'!E27*Sheet2!$B$3+'使用量'!G27*Sheet2!$C$3+'使用量'!I27*Sheet2!$D$3</f>
        <v>140.082</v>
      </c>
      <c r="F26" s="59">
        <f t="shared" si="1"/>
        <v>9969</v>
      </c>
      <c r="G26" s="59">
        <f>'使用量'!F27</f>
        <v>3152</v>
      </c>
      <c r="H26" s="59">
        <f>'使用量'!H27</f>
        <v>4799</v>
      </c>
      <c r="I26" s="60">
        <v>2018.0</v>
      </c>
      <c r="J26" s="2"/>
      <c r="K26" s="2"/>
      <c r="L26" s="2"/>
      <c r="M26" s="2"/>
      <c r="N26" s="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4">
        <v>25.0</v>
      </c>
      <c r="B27" s="55">
        <v>2019.0</v>
      </c>
      <c r="C27" s="56">
        <v>5.0</v>
      </c>
      <c r="D27" s="57" t="s">
        <v>34</v>
      </c>
      <c r="E27" s="58">
        <f>'使用量'!E28*Sheet2!$B$3+'使用量'!G28*Sheet2!$C$3+'使用量'!I28*Sheet2!$D$3</f>
        <v>119.671</v>
      </c>
      <c r="F27" s="59">
        <f t="shared" si="1"/>
        <v>9157</v>
      </c>
      <c r="G27" s="59">
        <f>'使用量'!F28</f>
        <v>3578</v>
      </c>
      <c r="H27" s="59">
        <f>'使用量'!H28</f>
        <v>3561</v>
      </c>
      <c r="I27" s="60">
        <v>2018.0</v>
      </c>
      <c r="J27" s="2"/>
      <c r="K27" s="2"/>
      <c r="L27" s="2"/>
      <c r="M27" s="2"/>
      <c r="N27" s="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4">
        <v>26.0</v>
      </c>
      <c r="B28" s="55">
        <v>2019.0</v>
      </c>
      <c r="C28" s="56">
        <v>6.0</v>
      </c>
      <c r="D28" s="57" t="s">
        <v>35</v>
      </c>
      <c r="E28" s="58">
        <f>'使用量'!E29*Sheet2!$B$3+'使用量'!G29*Sheet2!$C$3+'使用量'!I29*Sheet2!$D$3</f>
        <v>119.447</v>
      </c>
      <c r="F28" s="59">
        <f t="shared" si="1"/>
        <v>8541.5</v>
      </c>
      <c r="G28" s="59">
        <f>'使用量'!F29</f>
        <v>4504</v>
      </c>
      <c r="H28" s="59">
        <f>'使用量'!H29</f>
        <v>2362</v>
      </c>
      <c r="I28" s="60">
        <v>1675.5</v>
      </c>
      <c r="J28" s="2"/>
      <c r="K28" s="2"/>
      <c r="L28" s="2"/>
      <c r="M28" s="2"/>
      <c r="N28" s="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4">
        <v>27.0</v>
      </c>
      <c r="B29" s="55">
        <v>2019.0</v>
      </c>
      <c r="C29" s="56">
        <v>7.0</v>
      </c>
      <c r="D29" s="57" t="s">
        <v>36</v>
      </c>
      <c r="E29" s="58">
        <f>'使用量'!E30*Sheet2!$B$3+'使用量'!G30*Sheet2!$C$3+'使用量'!I30*Sheet2!$D$3</f>
        <v>124.783</v>
      </c>
      <c r="F29" s="59">
        <f t="shared" si="1"/>
        <v>8804.5</v>
      </c>
      <c r="G29" s="59">
        <f>'使用量'!F30</f>
        <v>4642</v>
      </c>
      <c r="H29" s="59">
        <f>'使用量'!H30</f>
        <v>2487</v>
      </c>
      <c r="I29" s="60">
        <v>1675.5</v>
      </c>
      <c r="J29" s="2"/>
      <c r="K29" s="2"/>
      <c r="L29" s="2"/>
      <c r="M29" s="2"/>
      <c r="N29" s="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4">
        <v>28.0</v>
      </c>
      <c r="B30" s="55">
        <v>2019.0</v>
      </c>
      <c r="C30" s="56">
        <v>8.0</v>
      </c>
      <c r="D30" s="57" t="s">
        <v>37</v>
      </c>
      <c r="E30" s="58">
        <f>'使用量'!E31*Sheet2!$B$3+'使用量'!G31*Sheet2!$C$3+'使用量'!I31*Sheet2!$D$3</f>
        <v>159.889</v>
      </c>
      <c r="F30" s="59">
        <f t="shared" si="1"/>
        <v>10539</v>
      </c>
      <c r="G30" s="59">
        <f>'使用量'!F31</f>
        <v>6476</v>
      </c>
      <c r="H30" s="59">
        <f>'使用量'!H31</f>
        <v>2316</v>
      </c>
      <c r="I30" s="60">
        <v>1747.0</v>
      </c>
      <c r="J30" s="2"/>
      <c r="K30" s="2"/>
      <c r="L30" s="2"/>
      <c r="M30" s="2"/>
      <c r="N30" s="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4">
        <v>29.0</v>
      </c>
      <c r="B31" s="55">
        <v>2019.0</v>
      </c>
      <c r="C31" s="56">
        <v>9.0</v>
      </c>
      <c r="D31" s="57" t="s">
        <v>38</v>
      </c>
      <c r="E31" s="58">
        <f>'使用量'!E32*Sheet2!$B$3+'使用量'!G32*Sheet2!$C$3+'使用量'!I32*Sheet2!$D$3</f>
        <v>142.301</v>
      </c>
      <c r="F31" s="59">
        <f t="shared" si="1"/>
        <v>9592</v>
      </c>
      <c r="G31" s="59">
        <f>'使用量'!F32</f>
        <v>5417</v>
      </c>
      <c r="H31" s="59">
        <f>'使用量'!H32</f>
        <v>2428</v>
      </c>
      <c r="I31" s="60">
        <v>1747.0</v>
      </c>
      <c r="J31" s="2"/>
      <c r="K31" s="2"/>
      <c r="L31" s="2"/>
      <c r="M31" s="2"/>
      <c r="N31" s="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4">
        <v>30.0</v>
      </c>
      <c r="B32" s="55">
        <v>2019.0</v>
      </c>
      <c r="C32" s="56">
        <v>10.0</v>
      </c>
      <c r="D32" s="57" t="s">
        <v>39</v>
      </c>
      <c r="E32" s="58">
        <f>'使用量'!E33*Sheet2!$B$3+'使用量'!G33*Sheet2!$C$3+'使用量'!I33*Sheet2!$D$3</f>
        <v>124.982</v>
      </c>
      <c r="F32" s="59">
        <f t="shared" si="1"/>
        <v>8672.5</v>
      </c>
      <c r="G32" s="59">
        <f>'使用量'!F33</f>
        <v>4631</v>
      </c>
      <c r="H32" s="59">
        <f>'使用量'!H33</f>
        <v>2279</v>
      </c>
      <c r="I32" s="60">
        <v>1762.5</v>
      </c>
      <c r="J32" s="2"/>
      <c r="K32" s="2"/>
      <c r="L32" s="2"/>
      <c r="M32" s="2"/>
      <c r="N32" s="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4">
        <v>31.0</v>
      </c>
      <c r="B33" s="55">
        <v>2019.0</v>
      </c>
      <c r="C33" s="56">
        <v>11.0</v>
      </c>
      <c r="D33" s="57" t="s">
        <v>40</v>
      </c>
      <c r="E33" s="58">
        <f>'使用量'!E34*Sheet2!$B$3+'使用量'!G34*Sheet2!$C$3+'使用量'!I34*Sheet2!$D$3</f>
        <v>119.36</v>
      </c>
      <c r="F33" s="59">
        <f t="shared" si="1"/>
        <v>8655.5</v>
      </c>
      <c r="G33" s="59">
        <f>'使用量'!F34</f>
        <v>3857</v>
      </c>
      <c r="H33" s="59">
        <f>'使用量'!H34</f>
        <v>3036</v>
      </c>
      <c r="I33" s="60">
        <v>1762.5</v>
      </c>
      <c r="J33" s="2"/>
      <c r="K33" s="2"/>
      <c r="L33" s="2"/>
      <c r="M33" s="2"/>
      <c r="N33" s="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4">
        <v>32.0</v>
      </c>
      <c r="B34" s="55">
        <v>2019.0</v>
      </c>
      <c r="C34" s="56">
        <v>12.0</v>
      </c>
      <c r="D34" s="57" t="s">
        <v>41</v>
      </c>
      <c r="E34" s="58">
        <f>'使用量'!E35*Sheet2!$B$3+'使用量'!G35*Sheet2!$C$3+'使用量'!I35*Sheet2!$D$3</f>
        <v>138.225</v>
      </c>
      <c r="F34" s="59">
        <f t="shared" si="1"/>
        <v>9741.5</v>
      </c>
      <c r="G34" s="59">
        <f>'使用量'!F35</f>
        <v>4232</v>
      </c>
      <c r="H34" s="59">
        <f>'使用量'!H35</f>
        <v>3730</v>
      </c>
      <c r="I34" s="60">
        <v>1779.5</v>
      </c>
      <c r="J34" s="2"/>
      <c r="K34" s="2"/>
      <c r="L34" s="2"/>
      <c r="M34" s="2"/>
      <c r="N34" s="2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4">
        <v>33.0</v>
      </c>
      <c r="B35" s="55">
        <v>2020.0</v>
      </c>
      <c r="C35" s="56">
        <v>1.0</v>
      </c>
      <c r="D35" s="57" t="s">
        <v>42</v>
      </c>
      <c r="E35" s="58">
        <f>'使用量'!E36*Sheet2!$B$3+'使用量'!G36*Sheet2!$C$3+'使用量'!I36*Sheet2!$D$3</f>
        <v>169.199</v>
      </c>
      <c r="F35" s="59">
        <f t="shared" si="1"/>
        <v>11374.5</v>
      </c>
      <c r="G35" s="59">
        <f>'使用量'!F36</f>
        <v>5111</v>
      </c>
      <c r="H35" s="59">
        <f>'使用量'!H36</f>
        <v>4484</v>
      </c>
      <c r="I35" s="60">
        <v>1779.5</v>
      </c>
      <c r="J35" s="2"/>
      <c r="K35" s="2"/>
      <c r="L35" s="2"/>
      <c r="M35" s="2"/>
      <c r="N35" s="2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4">
        <v>34.0</v>
      </c>
      <c r="B36" s="55">
        <v>2020.0</v>
      </c>
      <c r="C36" s="56">
        <v>2.0</v>
      </c>
      <c r="D36" s="57" t="s">
        <v>43</v>
      </c>
      <c r="E36" s="58">
        <f>'使用量'!E37*Sheet2!$B$3+'使用量'!G37*Sheet2!$C$3+'使用量'!I37*Sheet2!$D$3</f>
        <v>136.41</v>
      </c>
      <c r="F36" s="59">
        <f t="shared" si="1"/>
        <v>9551.5</v>
      </c>
      <c r="G36" s="59">
        <f>'使用量'!F37</f>
        <v>4332</v>
      </c>
      <c r="H36" s="59">
        <f>'使用量'!H37</f>
        <v>3440</v>
      </c>
      <c r="I36" s="60">
        <v>1779.5</v>
      </c>
      <c r="J36" s="61" t="s">
        <v>147</v>
      </c>
      <c r="K36" s="2"/>
      <c r="L36" s="2"/>
      <c r="M36" s="2"/>
      <c r="N36" s="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64">
        <v>35.0</v>
      </c>
      <c r="B37" s="65">
        <v>2020.0</v>
      </c>
      <c r="C37" s="66">
        <v>3.0</v>
      </c>
      <c r="D37" s="67" t="s">
        <v>44</v>
      </c>
      <c r="E37" s="68">
        <f>'使用量'!E38*Sheet2!$B$3+'使用量'!G38*Sheet2!$C$3+'使用量'!I38*Sheet2!$D$3</f>
        <v>102.545</v>
      </c>
      <c r="F37" s="69">
        <f t="shared" si="1"/>
        <v>7954.5</v>
      </c>
      <c r="G37" s="69">
        <f>'使用量'!F38</f>
        <v>2729</v>
      </c>
      <c r="H37" s="69">
        <f>'使用量'!H38</f>
        <v>3446</v>
      </c>
      <c r="I37" s="70">
        <v>1779.5</v>
      </c>
      <c r="J37" s="62">
        <f t="shared" ref="J37:K37" si="3">average(E37:E48)</f>
        <v>101.44325</v>
      </c>
      <c r="K37" s="63">
        <f t="shared" si="3"/>
        <v>7403.083333</v>
      </c>
      <c r="L37" s="62">
        <f>SUM(E25:E36)</f>
        <v>1623.972</v>
      </c>
      <c r="M37" s="62">
        <f>SUM(E37:E48)</f>
        <v>1217.319</v>
      </c>
      <c r="N37" s="62">
        <f>SUM(E61:E72)</f>
        <v>424.45</v>
      </c>
      <c r="O37" s="71">
        <f t="shared" ref="O37:O38" si="4">L37-N37</f>
        <v>1199.522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64">
        <v>36.0</v>
      </c>
      <c r="B38" s="65">
        <v>2020.0</v>
      </c>
      <c r="C38" s="66">
        <v>4.0</v>
      </c>
      <c r="D38" s="67" t="s">
        <v>45</v>
      </c>
      <c r="E38" s="68">
        <f>'使用量'!E39*Sheet2!$B$3+'使用量'!G39*Sheet2!$C$3+'使用量'!I39*Sheet2!$D$3</f>
        <v>100.077</v>
      </c>
      <c r="F38" s="69">
        <f t="shared" si="1"/>
        <v>7693</v>
      </c>
      <c r="G38" s="69">
        <f>'使用量'!F39</f>
        <v>2775</v>
      </c>
      <c r="H38" s="69">
        <f>'使用量'!H39</f>
        <v>3308</v>
      </c>
      <c r="I38" s="70">
        <v>1610.0</v>
      </c>
      <c r="J38" s="2"/>
      <c r="K38" s="2"/>
      <c r="L38" s="63">
        <f>SUM(F25:F36)</f>
        <v>114095</v>
      </c>
      <c r="M38" s="63">
        <f>SUM(F37:F48)</f>
        <v>88837</v>
      </c>
      <c r="N38" s="63">
        <f>SUM(F61:F72)</f>
        <v>103517</v>
      </c>
      <c r="O38" s="22">
        <f t="shared" si="4"/>
        <v>10578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64">
        <v>37.0</v>
      </c>
      <c r="B39" s="65">
        <v>2020.0</v>
      </c>
      <c r="C39" s="66">
        <v>5.0</v>
      </c>
      <c r="D39" s="67" t="s">
        <v>46</v>
      </c>
      <c r="E39" s="68">
        <f>'使用量'!E40*Sheet2!$B$3+'使用量'!G40*Sheet2!$C$3+'使用量'!I40*Sheet2!$D$3</f>
        <v>82.775</v>
      </c>
      <c r="F39" s="69">
        <f t="shared" si="1"/>
        <v>6745</v>
      </c>
      <c r="G39" s="69">
        <f>'使用量'!F40</f>
        <v>2535</v>
      </c>
      <c r="H39" s="69">
        <f>'使用量'!H40</f>
        <v>2600</v>
      </c>
      <c r="I39" s="70">
        <v>1610.0</v>
      </c>
      <c r="J39" s="2"/>
      <c r="K39" s="2"/>
      <c r="L39" s="2"/>
      <c r="M39" s="2"/>
      <c r="N39" s="2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64">
        <v>38.0</v>
      </c>
      <c r="B40" s="65">
        <v>2020.0</v>
      </c>
      <c r="C40" s="66">
        <v>6.0</v>
      </c>
      <c r="D40" s="67" t="s">
        <v>47</v>
      </c>
      <c r="E40" s="68">
        <f>'使用量'!E41*Sheet2!$B$3+'使用量'!G41*Sheet2!$C$3+'使用量'!I41*Sheet2!$D$3</f>
        <v>78.428</v>
      </c>
      <c r="F40" s="69">
        <f t="shared" si="1"/>
        <v>6349.5</v>
      </c>
      <c r="G40" s="69">
        <f>'使用量'!F41</f>
        <v>2694</v>
      </c>
      <c r="H40" s="69">
        <f>'使用量'!H41</f>
        <v>2033</v>
      </c>
      <c r="I40" s="70">
        <v>1622.5</v>
      </c>
      <c r="J40" s="2"/>
      <c r="K40" s="2"/>
      <c r="L40" s="2"/>
      <c r="M40" s="2"/>
      <c r="N40" s="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64">
        <v>39.0</v>
      </c>
      <c r="B41" s="65">
        <v>2020.0</v>
      </c>
      <c r="C41" s="66">
        <v>7.0</v>
      </c>
      <c r="D41" s="67" t="s">
        <v>48</v>
      </c>
      <c r="E41" s="68">
        <f>'使用量'!E42*Sheet2!$B$3+'使用量'!G42*Sheet2!$C$3+'使用量'!I42*Sheet2!$D$3</f>
        <v>83.117</v>
      </c>
      <c r="F41" s="69">
        <f t="shared" si="1"/>
        <v>6494.5</v>
      </c>
      <c r="G41" s="69">
        <f>'使用量'!F42</f>
        <v>2842</v>
      </c>
      <c r="H41" s="69">
        <f>'使用量'!H42</f>
        <v>2030</v>
      </c>
      <c r="I41" s="70">
        <v>1622.5</v>
      </c>
      <c r="J41" s="2"/>
      <c r="K41" s="2"/>
      <c r="L41" s="2"/>
      <c r="M41" s="2"/>
      <c r="N41" s="2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64">
        <v>40.0</v>
      </c>
      <c r="B42" s="65">
        <v>2020.0</v>
      </c>
      <c r="C42" s="66">
        <v>8.0</v>
      </c>
      <c r="D42" s="67" t="s">
        <v>49</v>
      </c>
      <c r="E42" s="68">
        <f>'使用量'!E43*Sheet2!$B$3+'使用量'!G43*Sheet2!$C$3+'使用量'!I43*Sheet2!$D$3</f>
        <v>110.926</v>
      </c>
      <c r="F42" s="69">
        <f t="shared" si="1"/>
        <v>7760</v>
      </c>
      <c r="G42" s="69">
        <f>'使用量'!F43</f>
        <v>4123</v>
      </c>
      <c r="H42" s="69">
        <f>'使用量'!H43</f>
        <v>2027</v>
      </c>
      <c r="I42" s="70">
        <v>1610.0</v>
      </c>
      <c r="J42" s="2"/>
      <c r="K42" s="2"/>
      <c r="L42" s="2"/>
      <c r="M42" s="2"/>
      <c r="N42" s="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64">
        <v>41.0</v>
      </c>
      <c r="B43" s="65">
        <v>2020.0</v>
      </c>
      <c r="C43" s="66">
        <v>9.0</v>
      </c>
      <c r="D43" s="67" t="s">
        <v>50</v>
      </c>
      <c r="E43" s="68">
        <f>'使用量'!E44*Sheet2!$B$3+'使用量'!G44*Sheet2!$C$3+'使用量'!I44*Sheet2!$D$3</f>
        <v>122.136</v>
      </c>
      <c r="F43" s="69">
        <f t="shared" si="1"/>
        <v>8092</v>
      </c>
      <c r="G43" s="69">
        <f>'使用量'!F44</f>
        <v>4752</v>
      </c>
      <c r="H43" s="69">
        <f>'使用量'!H44</f>
        <v>1730</v>
      </c>
      <c r="I43" s="70">
        <v>1610.0</v>
      </c>
      <c r="J43" s="2"/>
      <c r="K43" s="2"/>
      <c r="L43" s="2"/>
      <c r="M43" s="2"/>
      <c r="N43" s="2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64">
        <v>42.0</v>
      </c>
      <c r="B44" s="65">
        <v>2020.0</v>
      </c>
      <c r="C44" s="66">
        <v>10.0</v>
      </c>
      <c r="D44" s="67" t="s">
        <v>51</v>
      </c>
      <c r="E44" s="68">
        <f>'使用量'!E45*Sheet2!$B$3+'使用量'!G45*Sheet2!$C$3+'使用量'!I45*Sheet2!$D$3</f>
        <v>97.419</v>
      </c>
      <c r="F44" s="69">
        <f t="shared" si="1"/>
        <v>7092.5</v>
      </c>
      <c r="G44" s="69">
        <f>'使用量'!F45</f>
        <v>2686</v>
      </c>
      <c r="H44" s="69">
        <f>'使用量'!H45</f>
        <v>2784</v>
      </c>
      <c r="I44" s="70">
        <v>1622.5</v>
      </c>
      <c r="J44" s="2"/>
      <c r="K44" s="2"/>
      <c r="L44" s="2"/>
      <c r="M44" s="2"/>
      <c r="N44" s="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64">
        <v>43.0</v>
      </c>
      <c r="B45" s="65">
        <v>2020.0</v>
      </c>
      <c r="C45" s="66">
        <v>11.0</v>
      </c>
      <c r="D45" s="67" t="s">
        <v>53</v>
      </c>
      <c r="E45" s="68">
        <f>'使用量'!E46*Sheet2!$B$3+'使用量'!G46*Sheet2!$C$3+'使用量'!I46*Sheet2!$D$3</f>
        <v>83.369</v>
      </c>
      <c r="F45" s="69">
        <f t="shared" si="1"/>
        <v>6260.5</v>
      </c>
      <c r="G45" s="69">
        <f>'使用量'!F46</f>
        <v>2452</v>
      </c>
      <c r="H45" s="69">
        <f>'使用量'!H46</f>
        <v>2186</v>
      </c>
      <c r="I45" s="70">
        <v>1622.5</v>
      </c>
      <c r="J45" s="2"/>
      <c r="K45" s="2"/>
      <c r="L45" s="2"/>
      <c r="M45" s="2"/>
      <c r="N45" s="2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64">
        <v>44.0</v>
      </c>
      <c r="B46" s="65">
        <v>2020.0</v>
      </c>
      <c r="C46" s="66">
        <v>12.0</v>
      </c>
      <c r="D46" s="67" t="s">
        <v>54</v>
      </c>
      <c r="E46" s="68">
        <f>'使用量'!E47*Sheet2!$B$3+'使用量'!G47*Sheet2!$C$3+'使用量'!I47*Sheet2!$D$3</f>
        <v>104.363</v>
      </c>
      <c r="F46" s="69">
        <f t="shared" si="1"/>
        <v>7585</v>
      </c>
      <c r="G46" s="69">
        <f>'使用量'!F47</f>
        <v>2396</v>
      </c>
      <c r="H46" s="69">
        <f>'使用量'!H47</f>
        <v>3264</v>
      </c>
      <c r="I46" s="70">
        <v>1925.0</v>
      </c>
      <c r="J46" s="2"/>
      <c r="K46" s="2"/>
      <c r="L46" s="2"/>
      <c r="M46" s="2"/>
      <c r="N46" s="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64">
        <v>45.0</v>
      </c>
      <c r="B47" s="72" t="s">
        <v>55</v>
      </c>
      <c r="C47" s="67" t="s">
        <v>56</v>
      </c>
      <c r="D47" s="67" t="s">
        <v>57</v>
      </c>
      <c r="E47" s="68">
        <f>'使用量'!E48*Sheet2!$B$3+'使用量'!G48*Sheet2!$C$3+'使用量'!I48*Sheet2!$D$3</f>
        <v>141.034</v>
      </c>
      <c r="F47" s="69">
        <f t="shared" si="1"/>
        <v>9226</v>
      </c>
      <c r="G47" s="69">
        <f>'使用量'!F48</f>
        <v>2570</v>
      </c>
      <c r="H47" s="69">
        <f>'使用量'!H48</f>
        <v>4731</v>
      </c>
      <c r="I47" s="70">
        <v>1925.0</v>
      </c>
      <c r="J47" s="2"/>
      <c r="K47" s="2"/>
      <c r="L47" s="2"/>
      <c r="M47" s="2"/>
      <c r="N47" s="2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64">
        <v>46.0</v>
      </c>
      <c r="B48" s="72" t="s">
        <v>55</v>
      </c>
      <c r="C48" s="67" t="s">
        <v>58</v>
      </c>
      <c r="D48" s="67" t="s">
        <v>59</v>
      </c>
      <c r="E48" s="68">
        <f>'使用量'!E49*Sheet2!$B$3+'使用量'!G49*Sheet2!$C$3+'使用量'!I49*Sheet2!$D$3</f>
        <v>111.13</v>
      </c>
      <c r="F48" s="69">
        <f t="shared" si="1"/>
        <v>7584.5</v>
      </c>
      <c r="G48" s="69">
        <f>'使用量'!F49</f>
        <v>2503</v>
      </c>
      <c r="H48" s="69">
        <f>'使用量'!H49</f>
        <v>3447</v>
      </c>
      <c r="I48" s="70">
        <v>1634.5</v>
      </c>
      <c r="J48" s="2"/>
      <c r="K48" s="2"/>
      <c r="L48" s="2"/>
      <c r="M48" s="2"/>
      <c r="N48" s="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64">
        <v>47.0</v>
      </c>
      <c r="B49" s="72" t="s">
        <v>55</v>
      </c>
      <c r="C49" s="67" t="s">
        <v>60</v>
      </c>
      <c r="D49" s="67" t="s">
        <v>61</v>
      </c>
      <c r="E49" s="68">
        <f>'使用量'!E50*Sheet2!$B$3+'使用量'!G50*Sheet2!$C$3+'使用量'!I50*Sheet2!$D$3</f>
        <v>107.214</v>
      </c>
      <c r="F49" s="69">
        <f t="shared" si="1"/>
        <v>7609.5</v>
      </c>
      <c r="G49" s="69">
        <f>'使用量'!F50</f>
        <v>2253</v>
      </c>
      <c r="H49" s="69">
        <f>'使用量'!H50</f>
        <v>3722</v>
      </c>
      <c r="I49" s="70">
        <v>1634.5</v>
      </c>
      <c r="J49" s="2"/>
      <c r="K49" s="2"/>
      <c r="L49" s="2"/>
      <c r="M49" s="2"/>
      <c r="N49" s="2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64">
        <v>48.0</v>
      </c>
      <c r="B50" s="72" t="s">
        <v>55</v>
      </c>
      <c r="C50" s="67" t="s">
        <v>62</v>
      </c>
      <c r="D50" s="67" t="s">
        <v>63</v>
      </c>
      <c r="E50" s="68">
        <f>'使用量'!E51*Sheet2!$B$3+'使用量'!G51*Sheet2!$C$3+'使用量'!I51*Sheet2!$D$3</f>
        <v>88.629</v>
      </c>
      <c r="F50" s="69">
        <f t="shared" si="1"/>
        <v>6699</v>
      </c>
      <c r="G50" s="69">
        <f>'使用量'!F51</f>
        <v>2394</v>
      </c>
      <c r="H50" s="69">
        <f>'使用量'!H51</f>
        <v>2719</v>
      </c>
      <c r="I50" s="70">
        <v>1586.0</v>
      </c>
      <c r="J50" s="2">
        <f>3172/2</f>
        <v>1586</v>
      </c>
      <c r="K50" s="2"/>
      <c r="L50" s="2"/>
      <c r="M50" s="2"/>
      <c r="N50" s="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64">
        <v>49.0</v>
      </c>
      <c r="B51" s="72" t="s">
        <v>55</v>
      </c>
      <c r="C51" s="67" t="s">
        <v>64</v>
      </c>
      <c r="D51" s="67" t="s">
        <v>65</v>
      </c>
      <c r="E51" s="68">
        <f>'使用量'!E52*Sheet2!$B$3+'使用量'!G52*Sheet2!$C$3+'使用量'!I52*Sheet2!$D$3</f>
        <v>73.806</v>
      </c>
      <c r="F51" s="69">
        <f t="shared" si="1"/>
        <v>6000</v>
      </c>
      <c r="G51" s="69">
        <f>'使用量'!F52</f>
        <v>2440</v>
      </c>
      <c r="H51" s="69">
        <f>'使用量'!H52</f>
        <v>1974</v>
      </c>
      <c r="I51" s="70">
        <v>1586.0</v>
      </c>
      <c r="J51" s="61" t="s">
        <v>147</v>
      </c>
      <c r="K51" s="2"/>
      <c r="L51" s="2"/>
      <c r="M51" s="2"/>
      <c r="N51" s="2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73">
        <v>50.0</v>
      </c>
      <c r="B52" s="74" t="s">
        <v>55</v>
      </c>
      <c r="C52" s="75" t="s">
        <v>66</v>
      </c>
      <c r="D52" s="75" t="s">
        <v>67</v>
      </c>
      <c r="E52" s="76">
        <f>'使用量'!E53*Sheet2!$B$4+'使用量'!G53*Sheet2!$C$3+'使用量'!I53*Sheet2!$D$3</f>
        <v>16.185</v>
      </c>
      <c r="F52" s="77">
        <f t="shared" si="1"/>
        <v>6869</v>
      </c>
      <c r="G52" s="77">
        <f>'使用量'!F53</f>
        <v>3731</v>
      </c>
      <c r="H52" s="77">
        <f>'使用量'!H53</f>
        <v>1576</v>
      </c>
      <c r="I52" s="78">
        <v>1562.0</v>
      </c>
      <c r="J52" s="62">
        <f t="shared" ref="J52:K52" si="5">average(E52:E86)</f>
        <v>31.58235294</v>
      </c>
      <c r="K52" s="63">
        <f t="shared" si="5"/>
        <v>8541.235294</v>
      </c>
      <c r="L52" s="2"/>
      <c r="M52" s="2"/>
      <c r="N52" s="2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73">
        <v>51.0</v>
      </c>
      <c r="B53" s="74" t="s">
        <v>55</v>
      </c>
      <c r="C53" s="75" t="s">
        <v>68</v>
      </c>
      <c r="D53" s="75" t="s">
        <v>69</v>
      </c>
      <c r="E53" s="76">
        <f>'使用量'!E54*Sheet2!$B$4+'使用量'!G54*Sheet2!$C$3+'使用量'!I54*Sheet2!$D$3</f>
        <v>13.975</v>
      </c>
      <c r="F53" s="77">
        <f t="shared" si="1"/>
        <v>7314</v>
      </c>
      <c r="G53" s="77">
        <f>'使用量'!F54</f>
        <v>4006</v>
      </c>
      <c r="H53" s="77">
        <f>'使用量'!H54</f>
        <v>1746</v>
      </c>
      <c r="I53" s="78">
        <v>1562.0</v>
      </c>
      <c r="J53" s="2"/>
      <c r="K53" s="2"/>
      <c r="L53" s="2"/>
      <c r="M53" s="2"/>
      <c r="N53" s="2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73">
        <v>52.0</v>
      </c>
      <c r="B54" s="74" t="s">
        <v>55</v>
      </c>
      <c r="C54" s="75" t="s">
        <v>70</v>
      </c>
      <c r="D54" s="75" t="s">
        <v>71</v>
      </c>
      <c r="E54" s="76">
        <f>'使用量'!E55*Sheet2!$B$4+'使用量'!G55*Sheet2!$C$3+'使用量'!I55*Sheet2!$D$3</f>
        <v>14.625</v>
      </c>
      <c r="F54" s="77">
        <f t="shared" si="1"/>
        <v>9595</v>
      </c>
      <c r="G54" s="77">
        <f>'使用量'!F55</f>
        <v>6282</v>
      </c>
      <c r="H54" s="77">
        <f>'使用量'!H55</f>
        <v>1739</v>
      </c>
      <c r="I54" s="78">
        <v>1574.0</v>
      </c>
      <c r="J54" s="2"/>
      <c r="K54" s="2"/>
      <c r="L54" s="2"/>
      <c r="M54" s="2"/>
      <c r="N54" s="2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73">
        <v>53.0</v>
      </c>
      <c r="B55" s="74" t="s">
        <v>55</v>
      </c>
      <c r="C55" s="75" t="s">
        <v>72</v>
      </c>
      <c r="D55" s="75" t="s">
        <v>73</v>
      </c>
      <c r="E55" s="76">
        <f>'使用量'!E56*Sheet2!$B$4+'使用量'!G56*Sheet2!$C$3+'使用量'!I56*Sheet2!$D$3</f>
        <v>14.625</v>
      </c>
      <c r="F55" s="77">
        <f t="shared" si="1"/>
        <v>7477</v>
      </c>
      <c r="G55" s="77">
        <f>'使用量'!F56</f>
        <v>4149</v>
      </c>
      <c r="H55" s="77">
        <f>'使用量'!H56</f>
        <v>1754</v>
      </c>
      <c r="I55" s="78">
        <v>1574.0</v>
      </c>
      <c r="J55" s="2"/>
      <c r="K55" s="2"/>
      <c r="L55" s="2"/>
      <c r="M55" s="2"/>
      <c r="N55" s="2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73">
        <v>54.0</v>
      </c>
      <c r="B56" s="74" t="s">
        <v>55</v>
      </c>
      <c r="C56" s="75" t="s">
        <v>74</v>
      </c>
      <c r="D56" s="75" t="s">
        <v>75</v>
      </c>
      <c r="E56" s="76">
        <f>'使用量'!E57*Sheet2!$B$4+'使用量'!G57*Sheet2!$C$3+'使用量'!I57*Sheet2!$D$3</f>
        <v>24.44</v>
      </c>
      <c r="F56" s="77">
        <f t="shared" si="1"/>
        <v>7691</v>
      </c>
      <c r="G56" s="77">
        <f>'使用量'!F57</f>
        <v>3745</v>
      </c>
      <c r="H56" s="77">
        <f>'使用量'!H57</f>
        <v>2336</v>
      </c>
      <c r="I56" s="78">
        <f>'使用量'!J57</f>
        <v>1610</v>
      </c>
      <c r="J56" s="2"/>
      <c r="K56" s="2"/>
      <c r="L56" s="2"/>
      <c r="M56" s="2"/>
      <c r="N56" s="2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73">
        <v>55.0</v>
      </c>
      <c r="B57" s="74" t="s">
        <v>55</v>
      </c>
      <c r="C57" s="75" t="s">
        <v>76</v>
      </c>
      <c r="D57" s="75" t="s">
        <v>77</v>
      </c>
      <c r="E57" s="76">
        <f>'使用量'!E58*Sheet2!$B$4+'使用量'!G58*Sheet2!$C$3+'使用量'!I58*Sheet2!$D$3</f>
        <v>33.28</v>
      </c>
      <c r="F57" s="77">
        <f t="shared" si="1"/>
        <v>6841</v>
      </c>
      <c r="G57" s="77">
        <f>'使用量'!F58</f>
        <v>2292</v>
      </c>
      <c r="H57" s="77">
        <f>'使用量'!H58</f>
        <v>2939</v>
      </c>
      <c r="I57" s="78">
        <f>'使用量'!J58</f>
        <v>1610</v>
      </c>
      <c r="J57" s="2"/>
      <c r="K57" s="2"/>
      <c r="L57" s="2"/>
      <c r="M57" s="2"/>
      <c r="N57" s="2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73">
        <v>56.0</v>
      </c>
      <c r="B58" s="74" t="s">
        <v>55</v>
      </c>
      <c r="C58" s="75" t="s">
        <v>78</v>
      </c>
      <c r="D58" s="75" t="s">
        <v>79</v>
      </c>
      <c r="E58" s="76">
        <f>'使用量'!E59*Sheet2!$B$4+'使用量'!G59*Sheet2!$C$3+'使用量'!I59*Sheet2!$D$3</f>
        <v>43.68</v>
      </c>
      <c r="F58" s="77">
        <f t="shared" si="1"/>
        <v>7621</v>
      </c>
      <c r="G58" s="77">
        <f>'使用量'!F59</f>
        <v>2327</v>
      </c>
      <c r="H58" s="77">
        <f>'使用量'!H59</f>
        <v>3708</v>
      </c>
      <c r="I58" s="78">
        <f>'使用量'!J59</f>
        <v>1586</v>
      </c>
      <c r="J58" s="2"/>
      <c r="K58" s="2"/>
      <c r="L58" s="2"/>
      <c r="M58" s="2"/>
      <c r="N58" s="2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73">
        <v>57.0</v>
      </c>
      <c r="B59" s="74" t="s">
        <v>80</v>
      </c>
      <c r="C59" s="75" t="s">
        <v>56</v>
      </c>
      <c r="D59" s="75" t="s">
        <v>81</v>
      </c>
      <c r="E59" s="76">
        <f>'使用量'!E60*Sheet2!$B$4+'使用量'!G60*Sheet2!$C$3+'使用量'!I60*Sheet2!$D$3</f>
        <v>37.05</v>
      </c>
      <c r="F59" s="77">
        <f t="shared" si="1"/>
        <v>9750</v>
      </c>
      <c r="G59" s="77">
        <f>'使用量'!F60</f>
        <v>4841</v>
      </c>
      <c r="H59" s="77">
        <f>'使用量'!H60</f>
        <v>3323</v>
      </c>
      <c r="I59" s="78">
        <f>'使用量'!J60</f>
        <v>1586</v>
      </c>
      <c r="J59" s="2"/>
      <c r="K59" s="2"/>
      <c r="L59" s="2"/>
      <c r="M59" s="2"/>
      <c r="N59" s="2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73">
        <v>58.0</v>
      </c>
      <c r="B60" s="74" t="s">
        <v>80</v>
      </c>
      <c r="C60" s="75" t="s">
        <v>58</v>
      </c>
      <c r="D60" s="75" t="s">
        <v>82</v>
      </c>
      <c r="E60" s="76">
        <f>'使用量'!E61*Sheet2!$B$4+'使用量'!G61*Sheet2!$C$3+'使用量'!I61*Sheet2!$D$3</f>
        <v>65.845</v>
      </c>
      <c r="F60" s="77">
        <f t="shared" si="1"/>
        <v>11175</v>
      </c>
      <c r="G60" s="77">
        <f>'使用量'!F61</f>
        <v>4061</v>
      </c>
      <c r="H60" s="77">
        <f>'使用量'!H61</f>
        <v>5262</v>
      </c>
      <c r="I60" s="78">
        <f>'使用量'!J61</f>
        <v>1852</v>
      </c>
      <c r="J60" s="2"/>
      <c r="K60" s="2"/>
      <c r="L60" s="2"/>
      <c r="M60" s="2"/>
      <c r="N60" s="2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73">
        <v>59.0</v>
      </c>
      <c r="B61" s="74" t="s">
        <v>80</v>
      </c>
      <c r="C61" s="75" t="s">
        <v>60</v>
      </c>
      <c r="D61" s="75" t="s">
        <v>83</v>
      </c>
      <c r="E61" s="76">
        <f>'使用量'!E62*Sheet2!$B$4+'使用量'!G62*Sheet2!$C$3+'使用量'!I62*Sheet2!$D$3</f>
        <v>65.845</v>
      </c>
      <c r="F61" s="77">
        <f t="shared" si="1"/>
        <v>10248</v>
      </c>
      <c r="G61" s="77">
        <f>'使用量'!F62</f>
        <v>2934</v>
      </c>
      <c r="H61" s="77">
        <f>'使用量'!H62</f>
        <v>5462</v>
      </c>
      <c r="I61" s="78">
        <f>'使用量'!J62</f>
        <v>1852</v>
      </c>
      <c r="J61" s="2"/>
      <c r="K61" s="2"/>
      <c r="L61" s="2"/>
      <c r="M61" s="2"/>
      <c r="N61" s="2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73">
        <v>60.0</v>
      </c>
      <c r="B62" s="74" t="s">
        <v>80</v>
      </c>
      <c r="C62" s="75" t="s">
        <v>62</v>
      </c>
      <c r="D62" s="75" t="s">
        <v>84</v>
      </c>
      <c r="E62" s="76">
        <f>'使用量'!E63*Sheet2!$B$4+'使用量'!G63*Sheet2!$C$3+'使用量'!I63*Sheet2!$D$3</f>
        <v>54.73</v>
      </c>
      <c r="F62" s="77">
        <f t="shared" si="1"/>
        <v>9201</v>
      </c>
      <c r="G62" s="77">
        <f>'使用量'!F63</f>
        <v>2697</v>
      </c>
      <c r="H62" s="77">
        <f>'使用量'!H63</f>
        <v>4918</v>
      </c>
      <c r="I62" s="78">
        <f>'使用量'!J63</f>
        <v>1586</v>
      </c>
      <c r="J62" s="2"/>
      <c r="K62" s="2"/>
      <c r="L62" s="2"/>
      <c r="M62" s="2"/>
      <c r="N62" s="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73">
        <v>61.0</v>
      </c>
      <c r="B63" s="74" t="s">
        <v>80</v>
      </c>
      <c r="C63" s="75" t="s">
        <v>64</v>
      </c>
      <c r="D63" s="75" t="s">
        <v>85</v>
      </c>
      <c r="E63" s="76">
        <f>'使用量'!E64*Sheet2!$B$4+'使用量'!G64*Sheet2!$C$3+'使用量'!I64*Sheet2!$D$3</f>
        <v>26</v>
      </c>
      <c r="F63" s="77">
        <f t="shared" si="1"/>
        <v>6939</v>
      </c>
      <c r="G63" s="77">
        <f>'使用量'!F64</f>
        <v>2563</v>
      </c>
      <c r="H63" s="77">
        <f>'使用量'!H64</f>
        <v>2790</v>
      </c>
      <c r="I63" s="78">
        <f>'使用量'!J64</f>
        <v>1586</v>
      </c>
      <c r="J63" s="2"/>
      <c r="K63" s="2"/>
      <c r="L63" s="2"/>
      <c r="M63" s="2"/>
      <c r="N63" s="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73">
        <v>62.0</v>
      </c>
      <c r="B64" s="74" t="s">
        <v>80</v>
      </c>
      <c r="C64" s="75" t="s">
        <v>66</v>
      </c>
      <c r="D64" s="75" t="s">
        <v>86</v>
      </c>
      <c r="E64" s="76">
        <f>'使用量'!E65*Sheet2!$B$4+'使用量'!G65*Sheet2!$C$3+'使用量'!I65*Sheet2!$D$3</f>
        <v>22.49</v>
      </c>
      <c r="F64" s="77">
        <f t="shared" si="1"/>
        <v>7081</v>
      </c>
      <c r="G64" s="77">
        <f>'使用量'!F65</f>
        <v>2894</v>
      </c>
      <c r="H64" s="77">
        <f>'使用量'!H65</f>
        <v>2625</v>
      </c>
      <c r="I64" s="78">
        <f>'使用量'!J65</f>
        <v>1562</v>
      </c>
      <c r="J64" s="2"/>
      <c r="K64" s="2"/>
      <c r="L64" s="2"/>
      <c r="M64" s="2"/>
      <c r="N64" s="2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73">
        <v>63.0</v>
      </c>
      <c r="B65" s="74" t="s">
        <v>80</v>
      </c>
      <c r="C65" s="75" t="s">
        <v>68</v>
      </c>
      <c r="D65" s="75" t="s">
        <v>87</v>
      </c>
      <c r="E65" s="76">
        <f>'使用量'!E66*Sheet2!$B$4+'使用量'!G66*Sheet2!$C$3+'使用量'!I66*Sheet2!$D$3</f>
        <v>13.65</v>
      </c>
      <c r="F65" s="77">
        <f t="shared" si="1"/>
        <v>8265</v>
      </c>
      <c r="G65" s="77">
        <f>'使用量'!F66</f>
        <v>4758</v>
      </c>
      <c r="H65" s="77">
        <f>'使用量'!H66</f>
        <v>1945</v>
      </c>
      <c r="I65" s="78">
        <f>'使用量'!J66</f>
        <v>1562</v>
      </c>
      <c r="J65" s="2"/>
      <c r="K65" s="2"/>
      <c r="L65" s="2"/>
      <c r="M65" s="2"/>
      <c r="N65" s="2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73">
        <v>64.0</v>
      </c>
      <c r="B66" s="74" t="s">
        <v>80</v>
      </c>
      <c r="C66" s="75" t="s">
        <v>70</v>
      </c>
      <c r="D66" s="75" t="s">
        <v>88</v>
      </c>
      <c r="E66" s="76">
        <f>'使用量'!E67*Sheet2!$B$4+'使用量'!G67*Sheet2!$C$3+'使用量'!I67*Sheet2!$D$3</f>
        <v>13.975</v>
      </c>
      <c r="F66" s="77">
        <f t="shared" si="1"/>
        <v>9726</v>
      </c>
      <c r="G66" s="77">
        <f>'使用量'!F67</f>
        <v>6219</v>
      </c>
      <c r="H66" s="77">
        <f>'使用量'!H67</f>
        <v>1945</v>
      </c>
      <c r="I66" s="78">
        <f>'使用量'!J67</f>
        <v>1562</v>
      </c>
      <c r="J66" s="2"/>
      <c r="K66" s="2"/>
      <c r="L66" s="2"/>
      <c r="M66" s="2"/>
      <c r="N66" s="2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73">
        <v>65.0</v>
      </c>
      <c r="B67" s="74" t="s">
        <v>80</v>
      </c>
      <c r="C67" s="75" t="s">
        <v>72</v>
      </c>
      <c r="D67" s="75" t="s">
        <v>89</v>
      </c>
      <c r="E67" s="76">
        <f>'使用量'!E68*Sheet2!$B$4+'使用量'!G68*Sheet2!$C$3+'使用量'!I68*Sheet2!$D$3</f>
        <v>11.765</v>
      </c>
      <c r="F67" s="77">
        <f t="shared" si="1"/>
        <v>8024</v>
      </c>
      <c r="G67" s="77">
        <f>'使用量'!F68</f>
        <v>4693</v>
      </c>
      <c r="H67" s="77">
        <f>'使用量'!H68</f>
        <v>1769</v>
      </c>
      <c r="I67" s="78">
        <f>'使用量'!J68</f>
        <v>1562</v>
      </c>
      <c r="J67" s="2"/>
      <c r="K67" s="2"/>
      <c r="L67" s="2"/>
      <c r="M67" s="2"/>
      <c r="N67" s="2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73">
        <v>66.0</v>
      </c>
      <c r="B68" s="74" t="s">
        <v>80</v>
      </c>
      <c r="C68" s="75" t="s">
        <v>74</v>
      </c>
      <c r="D68" s="75" t="s">
        <v>90</v>
      </c>
      <c r="E68" s="76">
        <f>'使用量'!E69*Sheet2!$B$4+'使用量'!G69*Sheet2!$C$3+'使用量'!I69*Sheet2!$D$3</f>
        <v>29.185</v>
      </c>
      <c r="F68" s="77">
        <f t="shared" si="1"/>
        <v>8181</v>
      </c>
      <c r="G68" s="77">
        <f>'使用量'!F69</f>
        <v>3453</v>
      </c>
      <c r="H68" s="77">
        <f>'使用量'!H69</f>
        <v>3106</v>
      </c>
      <c r="I68" s="78">
        <f>'使用量'!J69</f>
        <v>1622</v>
      </c>
      <c r="J68" s="2"/>
      <c r="K68" s="2"/>
      <c r="L68" s="2"/>
      <c r="M68" s="2"/>
      <c r="N68" s="2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73">
        <v>67.0</v>
      </c>
      <c r="B69" s="74" t="s">
        <v>80</v>
      </c>
      <c r="C69" s="75" t="s">
        <v>76</v>
      </c>
      <c r="D69" s="75" t="s">
        <v>91</v>
      </c>
      <c r="E69" s="76">
        <f>'使用量'!E70*Sheet2!$B$4+'使用量'!G70*Sheet2!$C$3+'使用量'!I70*Sheet2!$D$3</f>
        <v>38.025</v>
      </c>
      <c r="F69" s="77">
        <f t="shared" si="1"/>
        <v>8502</v>
      </c>
      <c r="G69" s="77">
        <f>'使用量'!F70</f>
        <v>2888</v>
      </c>
      <c r="H69" s="77">
        <f>'使用量'!H70</f>
        <v>3991</v>
      </c>
      <c r="I69" s="78">
        <f>'使用量'!J70</f>
        <v>1623</v>
      </c>
      <c r="J69" s="2"/>
      <c r="K69" s="2"/>
      <c r="L69" s="2"/>
      <c r="M69" s="2"/>
      <c r="N69" s="2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73">
        <v>68.0</v>
      </c>
      <c r="B70" s="74" t="s">
        <v>80</v>
      </c>
      <c r="C70" s="75" t="s">
        <v>78</v>
      </c>
      <c r="D70" s="75" t="s">
        <v>92</v>
      </c>
      <c r="E70" s="76">
        <f>'使用量'!E71*Sheet2!$B$4+'使用量'!G71*Sheet2!$C$3+'使用量'!I71*Sheet2!$D$3</f>
        <v>42.445</v>
      </c>
      <c r="F70" s="77">
        <f t="shared" si="1"/>
        <v>7000</v>
      </c>
      <c r="G70" s="77">
        <f>'使用量'!F71</f>
        <v>832</v>
      </c>
      <c r="H70" s="77">
        <f>'使用量'!H71</f>
        <v>4545</v>
      </c>
      <c r="I70" s="78">
        <f>'使用量'!J71</f>
        <v>1623</v>
      </c>
      <c r="J70" s="2"/>
      <c r="K70" s="2"/>
      <c r="L70" s="2"/>
      <c r="M70" s="2"/>
      <c r="N70" s="2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73"/>
      <c r="B71" s="74" t="s">
        <v>93</v>
      </c>
      <c r="C71" s="79" t="s">
        <v>56</v>
      </c>
      <c r="D71" s="79" t="s">
        <v>94</v>
      </c>
      <c r="E71" s="76">
        <f>'使用量'!E72*Sheet2!$B$4+'使用量'!G72*Sheet2!$C$3+'使用量'!I72*Sheet2!$D$3</f>
        <v>62.335</v>
      </c>
      <c r="F71" s="77">
        <f t="shared" si="1"/>
        <v>11309</v>
      </c>
      <c r="G71" s="77">
        <f>'使用量'!F72</f>
        <v>3142</v>
      </c>
      <c r="H71" s="77">
        <f>'使用量'!H72</f>
        <v>6545</v>
      </c>
      <c r="I71" s="78">
        <f>'使用量'!J72</f>
        <v>1622</v>
      </c>
      <c r="J71" s="2"/>
      <c r="K71" s="2"/>
      <c r="L71" s="2"/>
      <c r="M71" s="2"/>
      <c r="N71" s="2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73"/>
      <c r="B72" s="74" t="s">
        <v>93</v>
      </c>
      <c r="C72" s="79" t="s">
        <v>58</v>
      </c>
      <c r="D72" s="79" t="s">
        <v>95</v>
      </c>
      <c r="E72" s="76">
        <f>'使用量'!E73*Sheet2!$B$4+'使用量'!G73*Sheet2!$C$3+'使用量'!I73*Sheet2!$D$3</f>
        <v>44.005</v>
      </c>
      <c r="F72" s="77">
        <f t="shared" si="1"/>
        <v>9041</v>
      </c>
      <c r="G72" s="77">
        <f>'使用量'!F73</f>
        <v>2889</v>
      </c>
      <c r="H72" s="77">
        <f>'使用量'!H73</f>
        <v>4554</v>
      </c>
      <c r="I72" s="78">
        <f>'使用量'!J73</f>
        <v>1598</v>
      </c>
      <c r="J72" s="2"/>
      <c r="K72" s="2"/>
      <c r="L72" s="2"/>
      <c r="M72" s="2"/>
      <c r="N72" s="2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73"/>
      <c r="B73" s="74" t="s">
        <v>93</v>
      </c>
      <c r="C73" s="79" t="s">
        <v>60</v>
      </c>
      <c r="D73" s="79" t="s">
        <v>96</v>
      </c>
      <c r="E73" s="76">
        <f>'使用量'!E74*Sheet2!$B$4+'使用量'!G74*Sheet2!$C$3+'使用量'!I74*Sheet2!$D$3</f>
        <v>50.635</v>
      </c>
      <c r="F73" s="77">
        <f t="shared" si="1"/>
        <v>7694</v>
      </c>
      <c r="G73" s="77">
        <f>'使用量'!F74</f>
        <v>1088</v>
      </c>
      <c r="H73" s="77">
        <f>'使用量'!H74</f>
        <v>5008</v>
      </c>
      <c r="I73" s="78">
        <f>'使用量'!J74</f>
        <v>1598</v>
      </c>
      <c r="J73" s="2"/>
      <c r="K73" s="2"/>
      <c r="L73" s="2"/>
      <c r="M73" s="2"/>
      <c r="N73" s="2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73"/>
      <c r="B74" s="74" t="s">
        <v>93</v>
      </c>
      <c r="C74" s="79" t="s">
        <v>62</v>
      </c>
      <c r="D74" s="79" t="s">
        <v>97</v>
      </c>
      <c r="E74" s="76">
        <f>'使用量'!E75*Sheet2!$B$4+'使用量'!G75*Sheet2!$C$3+'使用量'!I75*Sheet2!$D$3</f>
        <v>35.75</v>
      </c>
      <c r="F74" s="77">
        <f t="shared" si="1"/>
        <v>6737</v>
      </c>
      <c r="G74" s="77">
        <f>'使用量'!F75</f>
        <v>1826</v>
      </c>
      <c r="H74" s="77">
        <f>'使用量'!H75</f>
        <v>3773</v>
      </c>
      <c r="I74" s="78">
        <f>'使用量'!J75</f>
        <v>1138</v>
      </c>
      <c r="J74" s="2"/>
      <c r="K74" s="2"/>
      <c r="L74" s="2"/>
      <c r="M74" s="2"/>
      <c r="N74" s="2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73"/>
      <c r="B75" s="74" t="s">
        <v>93</v>
      </c>
      <c r="C75" s="79" t="s">
        <v>64</v>
      </c>
      <c r="D75" s="79" t="s">
        <v>98</v>
      </c>
      <c r="E75" s="76"/>
      <c r="F75" s="77"/>
      <c r="G75" s="77" t="str">
        <f>'使用量'!F76</f>
        <v/>
      </c>
      <c r="H75" s="77" t="str">
        <f>'使用量'!H76</f>
        <v/>
      </c>
      <c r="I75" s="78">
        <f>'使用量'!J76</f>
        <v>1137</v>
      </c>
      <c r="J75" s="2"/>
      <c r="K75" s="2"/>
      <c r="L75" s="2"/>
      <c r="M75" s="2"/>
      <c r="N75" s="2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73"/>
      <c r="B76" s="74" t="s">
        <v>93</v>
      </c>
      <c r="C76" s="79" t="s">
        <v>66</v>
      </c>
      <c r="D76" s="79" t="s">
        <v>99</v>
      </c>
      <c r="E76" s="76">
        <f>'使用量'!E77*Sheet2!$B$4+'使用量'!G77*Sheet2!$C$3+'使用量'!I77*Sheet2!$D$3</f>
        <v>22.23</v>
      </c>
      <c r="F76" s="77">
        <f t="shared" ref="F76:F110" si="6">SUM(G76:I76)</f>
        <v>7408</v>
      </c>
      <c r="G76" s="77">
        <f>'使用量'!F77</f>
        <v>3057</v>
      </c>
      <c r="H76" s="77">
        <f>'使用量'!H77</f>
        <v>2446</v>
      </c>
      <c r="I76" s="78">
        <f>'使用量'!J77</f>
        <v>1905</v>
      </c>
      <c r="J76" s="2"/>
      <c r="K76" s="2"/>
      <c r="L76" s="2"/>
      <c r="M76" s="2"/>
      <c r="N76" s="2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73"/>
      <c r="B77" s="74" t="s">
        <v>93</v>
      </c>
      <c r="C77" s="79" t="s">
        <v>68</v>
      </c>
      <c r="D77" s="79" t="s">
        <v>100</v>
      </c>
      <c r="E77" s="76">
        <f>'使用量'!E78*Sheet2!$B$4+'使用量'!G78*Sheet2!$C$3+'使用量'!I78*Sheet2!$D$3</f>
        <v>14.625</v>
      </c>
      <c r="F77" s="77">
        <f t="shared" si="6"/>
        <v>8518</v>
      </c>
      <c r="G77" s="77">
        <f>'使用量'!F78</f>
        <v>5213</v>
      </c>
      <c r="H77" s="77">
        <f>'使用量'!H78</f>
        <v>1896</v>
      </c>
      <c r="I77" s="78">
        <f>'使用量'!J78</f>
        <v>1409</v>
      </c>
      <c r="J77" s="2"/>
      <c r="K77" s="2"/>
      <c r="L77" s="2"/>
      <c r="M77" s="2"/>
      <c r="N77" s="2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73"/>
      <c r="B78" s="74" t="s">
        <v>93</v>
      </c>
      <c r="C78" s="79" t="s">
        <v>70</v>
      </c>
      <c r="D78" s="79" t="s">
        <v>101</v>
      </c>
      <c r="E78" s="76">
        <f>'使用量'!E79*Sheet2!$B$4+'使用量'!G79*Sheet2!$C$3+'使用量'!I79*Sheet2!$D$3</f>
        <v>12.415</v>
      </c>
      <c r="F78" s="77">
        <f t="shared" si="6"/>
        <v>9587</v>
      </c>
      <c r="G78" s="77">
        <f>'使用量'!F79</f>
        <v>6477</v>
      </c>
      <c r="H78" s="77">
        <f>'使用量'!H79</f>
        <v>1701</v>
      </c>
      <c r="I78" s="78">
        <f>'使用量'!J79</f>
        <v>1409</v>
      </c>
      <c r="J78" s="2"/>
      <c r="K78" s="2"/>
      <c r="L78" s="2"/>
      <c r="M78" s="2"/>
      <c r="N78" s="2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73"/>
      <c r="B79" s="74" t="s">
        <v>93</v>
      </c>
      <c r="C79" s="79" t="s">
        <v>72</v>
      </c>
      <c r="D79" s="79" t="s">
        <v>102</v>
      </c>
      <c r="E79" s="76">
        <f>'使用量'!E80*Sheet2!$B$4+'使用量'!G80*Sheet2!$C$3+'使用量'!I80*Sheet2!$D$3</f>
        <v>14.625</v>
      </c>
      <c r="F79" s="77">
        <f t="shared" si="6"/>
        <v>8341</v>
      </c>
      <c r="G79" s="77">
        <f>'使用量'!F80</f>
        <v>5110</v>
      </c>
      <c r="H79" s="77">
        <f>'使用量'!H80</f>
        <v>1822</v>
      </c>
      <c r="I79" s="78">
        <f>'使用量'!J80</f>
        <v>1409</v>
      </c>
      <c r="J79" s="2"/>
      <c r="K79" s="2"/>
      <c r="L79" s="2"/>
      <c r="M79" s="2"/>
      <c r="N79" s="2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73"/>
      <c r="B80" s="74" t="s">
        <v>93</v>
      </c>
      <c r="C80" s="79" t="s">
        <v>74</v>
      </c>
      <c r="D80" s="79" t="s">
        <v>103</v>
      </c>
      <c r="E80" s="76">
        <f>'使用量'!E81*Sheet2!$B$4+'使用量'!G81*Sheet2!$C$3+'使用量'!I81*Sheet2!$D$3</f>
        <v>19.045</v>
      </c>
      <c r="F80" s="77">
        <f t="shared" si="6"/>
        <v>7003</v>
      </c>
      <c r="G80" s="77">
        <f>'使用量'!F81</f>
        <v>3388</v>
      </c>
      <c r="H80" s="77">
        <f>'使用量'!H81</f>
        <v>2206</v>
      </c>
      <c r="I80" s="78">
        <f>'使用量'!J81</f>
        <v>1409</v>
      </c>
      <c r="J80" s="2"/>
      <c r="K80" s="2"/>
      <c r="L80" s="2"/>
      <c r="M80" s="2"/>
      <c r="N80" s="2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73"/>
      <c r="B81" s="74" t="s">
        <v>93</v>
      </c>
      <c r="C81" s="79" t="s">
        <v>76</v>
      </c>
      <c r="D81" s="79" t="s">
        <v>104</v>
      </c>
      <c r="E81" s="76">
        <f>'使用量'!E82*Sheet2!$B$4+'使用量'!G82*Sheet2!$C$3+'使用量'!I82*Sheet2!$D$3</f>
        <v>28.21</v>
      </c>
      <c r="F81" s="77">
        <f t="shared" si="6"/>
        <v>8110</v>
      </c>
      <c r="G81" s="77">
        <f>'使用量'!F82</f>
        <v>3857</v>
      </c>
      <c r="H81" s="77">
        <f>'使用量'!H82</f>
        <v>2832</v>
      </c>
      <c r="I81" s="78">
        <f>'使用量'!J82</f>
        <v>1421</v>
      </c>
      <c r="J81" s="2"/>
      <c r="K81" s="2"/>
      <c r="L81" s="2"/>
      <c r="M81" s="2"/>
      <c r="N81" s="2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73"/>
      <c r="B82" s="74" t="s">
        <v>93</v>
      </c>
      <c r="C82" s="79" t="s">
        <v>78</v>
      </c>
      <c r="D82" s="79" t="s">
        <v>105</v>
      </c>
      <c r="E82" s="76">
        <f>'使用量'!E83*Sheet2!$B$4+'使用量'!G83*Sheet2!$C$3+'使用量'!I83*Sheet2!$D$3</f>
        <v>30.42</v>
      </c>
      <c r="F82" s="77">
        <f t="shared" si="6"/>
        <v>9541</v>
      </c>
      <c r="G82" s="77">
        <f>'使用量'!F83</f>
        <v>5128</v>
      </c>
      <c r="H82" s="77">
        <f>'使用量'!H83</f>
        <v>2992</v>
      </c>
      <c r="I82" s="78">
        <f>'使用量'!J83</f>
        <v>1421</v>
      </c>
      <c r="J82" s="2"/>
      <c r="K82" s="2"/>
      <c r="L82" s="2"/>
      <c r="M82" s="2"/>
      <c r="N82" s="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80"/>
      <c r="B83" s="81" t="s">
        <v>148</v>
      </c>
      <c r="C83" s="82" t="s">
        <v>56</v>
      </c>
      <c r="D83" s="82" t="s">
        <v>106</v>
      </c>
      <c r="E83" s="76">
        <f>'使用量'!E84*Sheet2!$B$4+'使用量'!G84*Sheet2!$C$3+'使用量'!I84*Sheet2!$D$3</f>
        <v>48.75</v>
      </c>
      <c r="F83" s="77">
        <f t="shared" si="6"/>
        <v>10974</v>
      </c>
      <c r="G83" s="77">
        <f>'使用量'!F84</f>
        <v>5253</v>
      </c>
      <c r="H83" s="77">
        <f>'使用量'!H84</f>
        <v>4276</v>
      </c>
      <c r="I83" s="78">
        <f>'使用量'!J84</f>
        <v>1445</v>
      </c>
      <c r="J83" s="83"/>
      <c r="K83" s="83"/>
      <c r="L83" s="83"/>
      <c r="M83" s="83"/>
      <c r="N83" s="8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80"/>
      <c r="B84" s="81" t="s">
        <v>148</v>
      </c>
      <c r="C84" s="82" t="s">
        <v>58</v>
      </c>
      <c r="D84" s="82" t="s">
        <v>107</v>
      </c>
      <c r="E84" s="76">
        <f>'使用量'!E85*Sheet2!$B$4+'使用量'!G85*Sheet2!$C$3+'使用量'!I85*Sheet2!$D$3</f>
        <v>44.33</v>
      </c>
      <c r="F84" s="77">
        <f t="shared" si="6"/>
        <v>10159</v>
      </c>
      <c r="G84" s="77">
        <f>'使用量'!F85</f>
        <v>4725</v>
      </c>
      <c r="H84" s="77">
        <f>'使用量'!H85</f>
        <v>3989</v>
      </c>
      <c r="I84" s="78">
        <f>'使用量'!J85</f>
        <v>1445</v>
      </c>
      <c r="J84" s="83"/>
      <c r="K84" s="83"/>
      <c r="L84" s="83"/>
      <c r="M84" s="83"/>
      <c r="N84" s="8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80"/>
      <c r="B85" s="81" t="s">
        <v>148</v>
      </c>
      <c r="C85" s="82" t="s">
        <v>60</v>
      </c>
      <c r="D85" s="82" t="s">
        <v>108</v>
      </c>
      <c r="E85" s="76">
        <f>'使用量'!E86*Sheet2!$B$4+'使用量'!G86*Sheet2!$C$3+'使用量'!I86*Sheet2!$D$3</f>
        <v>38.935</v>
      </c>
      <c r="F85" s="77">
        <f t="shared" si="6"/>
        <v>9768</v>
      </c>
      <c r="G85" s="77">
        <f>'使用量'!F86</f>
        <v>4624</v>
      </c>
      <c r="H85" s="77">
        <f>'使用量'!H86</f>
        <v>3735</v>
      </c>
      <c r="I85" s="78">
        <f>'使用量'!J86</f>
        <v>1409</v>
      </c>
      <c r="J85" s="83"/>
      <c r="K85" s="83"/>
      <c r="L85" s="83"/>
      <c r="M85" s="83"/>
      <c r="N85" s="8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80"/>
      <c r="B86" s="81" t="s">
        <v>148</v>
      </c>
      <c r="C86" s="82" t="s">
        <v>62</v>
      </c>
      <c r="D86" s="82" t="s">
        <v>109</v>
      </c>
      <c r="E86" s="76">
        <f>'使用量'!E87*Sheet2!$B$4+'使用量'!G87*Sheet2!$C$3+'使用量'!I87*Sheet2!$D$3</f>
        <v>25.675</v>
      </c>
      <c r="F86" s="77">
        <f t="shared" si="6"/>
        <v>8712</v>
      </c>
      <c r="G86" s="77">
        <f>'使用量'!F87</f>
        <v>4529</v>
      </c>
      <c r="H86" s="77">
        <f>'使用量'!H87</f>
        <v>2774</v>
      </c>
      <c r="I86" s="78">
        <f>'使用量'!J87</f>
        <v>1409</v>
      </c>
      <c r="J86" s="83"/>
      <c r="K86" s="83"/>
      <c r="L86" s="83"/>
      <c r="M86" s="83"/>
      <c r="N86" s="8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80"/>
      <c r="B87" s="81" t="s">
        <v>148</v>
      </c>
      <c r="C87" s="82" t="s">
        <v>64</v>
      </c>
      <c r="D87" s="82" t="s">
        <v>110</v>
      </c>
      <c r="E87" s="76">
        <f>'使用量'!E88*Sheet2!$B$4+'使用量'!G88*Sheet2!$C$3+'使用量'!I88*Sheet2!$D$3</f>
        <v>18.395</v>
      </c>
      <c r="F87" s="77">
        <f t="shared" si="6"/>
        <v>6761</v>
      </c>
      <c r="G87" s="77">
        <f>'使用量'!F88</f>
        <v>3082</v>
      </c>
      <c r="H87" s="77">
        <f>'使用量'!H88</f>
        <v>2282</v>
      </c>
      <c r="I87" s="78">
        <f>'使用量'!J88</f>
        <v>1397</v>
      </c>
      <c r="J87" s="83"/>
      <c r="K87" s="83"/>
      <c r="L87" s="83"/>
      <c r="M87" s="83"/>
      <c r="N87" s="8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80"/>
      <c r="B88" s="81" t="s">
        <v>148</v>
      </c>
      <c r="C88" s="82" t="s">
        <v>66</v>
      </c>
      <c r="D88" s="82" t="s">
        <v>111</v>
      </c>
      <c r="E88" s="76">
        <f>'使用量'!E89*Sheet2!$B$4+'使用量'!G89*Sheet2!$C$3+'使用量'!I89*Sheet2!$D$3</f>
        <v>16.185</v>
      </c>
      <c r="F88" s="77">
        <f t="shared" si="6"/>
        <v>6952</v>
      </c>
      <c r="G88" s="77">
        <f>'使用量'!F89</f>
        <v>3404</v>
      </c>
      <c r="H88" s="77">
        <f>'使用量'!H89</f>
        <v>2151</v>
      </c>
      <c r="I88" s="78">
        <f>'使用量'!J89</f>
        <v>1397</v>
      </c>
      <c r="J88" s="83"/>
      <c r="K88" s="83"/>
      <c r="L88" s="83"/>
      <c r="M88" s="83"/>
      <c r="N88" s="8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80"/>
      <c r="B89" s="81" t="s">
        <v>148</v>
      </c>
      <c r="C89" s="82" t="s">
        <v>68</v>
      </c>
      <c r="D89" s="82" t="s">
        <v>112</v>
      </c>
      <c r="E89" s="76">
        <f>'使用量'!E90*Sheet2!$B$4+'使用量'!G90*Sheet2!$C$3+'使用量'!I90*Sheet2!$D$3</f>
        <v>12.09</v>
      </c>
      <c r="F89" s="77">
        <f t="shared" si="6"/>
        <v>8585</v>
      </c>
      <c r="G89" s="77">
        <f>'使用量'!F90</f>
        <v>5371</v>
      </c>
      <c r="H89" s="77">
        <f>'使用量'!H90</f>
        <v>1817</v>
      </c>
      <c r="I89" s="78">
        <f>'使用量'!J90</f>
        <v>1397</v>
      </c>
      <c r="J89" s="83"/>
      <c r="K89" s="83"/>
      <c r="L89" s="83"/>
      <c r="M89" s="83"/>
      <c r="N89" s="8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80"/>
      <c r="B90" s="81" t="s">
        <v>148</v>
      </c>
      <c r="C90" s="82" t="s">
        <v>70</v>
      </c>
      <c r="D90" s="82" t="s">
        <v>113</v>
      </c>
      <c r="E90" s="76">
        <f>'使用量'!E91*Sheet2!$B$4+'使用量'!G91*Sheet2!$C$3+'使用量'!I91*Sheet2!$D$3</f>
        <v>12.09</v>
      </c>
      <c r="F90" s="77">
        <f t="shared" si="6"/>
        <v>10880</v>
      </c>
      <c r="G90" s="77">
        <f>'使用量'!F91</f>
        <v>7674</v>
      </c>
      <c r="H90" s="77">
        <f>'使用量'!H91</f>
        <v>1809</v>
      </c>
      <c r="I90" s="78">
        <f>'使用量'!J91</f>
        <v>1397</v>
      </c>
      <c r="J90" s="83"/>
      <c r="K90" s="83"/>
      <c r="L90" s="83"/>
      <c r="M90" s="83"/>
      <c r="N90" s="8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80"/>
      <c r="B91" s="81" t="s">
        <v>148</v>
      </c>
      <c r="C91" s="82" t="s">
        <v>72</v>
      </c>
      <c r="D91" s="82" t="s">
        <v>114</v>
      </c>
      <c r="E91" s="76">
        <f>'使用量'!E92*Sheet2!$B$4+'使用量'!G92*Sheet2!$C$3+'使用量'!I92*Sheet2!$D$3</f>
        <v>12.09</v>
      </c>
      <c r="F91" s="77">
        <f t="shared" si="6"/>
        <v>8022</v>
      </c>
      <c r="G91" s="77">
        <f>'使用量'!F92</f>
        <v>4890</v>
      </c>
      <c r="H91" s="77">
        <f>'使用量'!H92</f>
        <v>1735</v>
      </c>
      <c r="I91" s="78">
        <f>'使用量'!J92</f>
        <v>1397</v>
      </c>
      <c r="J91" s="83"/>
      <c r="K91" s="83"/>
      <c r="L91" s="83"/>
      <c r="M91" s="83"/>
      <c r="N91" s="8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80"/>
      <c r="B92" s="81" t="s">
        <v>148</v>
      </c>
      <c r="C92" s="82" t="s">
        <v>74</v>
      </c>
      <c r="D92" s="82" t="s">
        <v>115</v>
      </c>
      <c r="E92" s="76">
        <f>'使用量'!E93*Sheet2!$B$4+'使用量'!G93*Sheet2!$C$3+'使用量'!I93*Sheet2!$D$3</f>
        <v>18.72</v>
      </c>
      <c r="F92" s="77">
        <f t="shared" si="6"/>
        <v>6585</v>
      </c>
      <c r="G92" s="77">
        <f>'使用量'!F93</f>
        <v>2961</v>
      </c>
      <c r="H92" s="77">
        <f>'使用量'!H93</f>
        <v>2227</v>
      </c>
      <c r="I92" s="78">
        <f>'使用量'!J93</f>
        <v>1397</v>
      </c>
      <c r="J92" s="83"/>
      <c r="K92" s="83"/>
      <c r="L92" s="83"/>
      <c r="M92" s="83"/>
      <c r="N92" s="8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80"/>
      <c r="B93" s="81" t="s">
        <v>148</v>
      </c>
      <c r="C93" s="82" t="s">
        <v>76</v>
      </c>
      <c r="D93" s="82" t="s">
        <v>116</v>
      </c>
      <c r="E93" s="76">
        <f>'使用量'!E94*Sheet2!$B$4+'使用量'!G94*Sheet2!$C$3+'使用量'!I94*Sheet2!$D$3</f>
        <v>26</v>
      </c>
      <c r="F93" s="77">
        <f t="shared" si="6"/>
        <v>8794</v>
      </c>
      <c r="G93" s="77">
        <f>'使用量'!F94</f>
        <v>4583</v>
      </c>
      <c r="H93" s="77">
        <f>'使用量'!H94</f>
        <v>2790</v>
      </c>
      <c r="I93" s="78">
        <f>'使用量'!J94</f>
        <v>1421</v>
      </c>
      <c r="J93" s="83"/>
      <c r="K93" s="83"/>
      <c r="L93" s="83"/>
      <c r="M93" s="83"/>
      <c r="N93" s="8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80"/>
      <c r="B94" s="81" t="s">
        <v>148</v>
      </c>
      <c r="C94" s="82" t="s">
        <v>78</v>
      </c>
      <c r="D94" s="82" t="s">
        <v>117</v>
      </c>
      <c r="E94" s="76">
        <f>'使用量'!E95*Sheet2!$B$4+'使用量'!G95*Sheet2!$C$3+'使用量'!I95*Sheet2!$D$3</f>
        <v>28.21</v>
      </c>
      <c r="F94" s="77">
        <f t="shared" si="6"/>
        <v>9856</v>
      </c>
      <c r="G94" s="77">
        <f>'使用量'!F95</f>
        <v>5719</v>
      </c>
      <c r="H94" s="77">
        <f>'使用量'!H95</f>
        <v>2716</v>
      </c>
      <c r="I94" s="78">
        <f>'使用量'!J95</f>
        <v>1421</v>
      </c>
      <c r="J94" s="83"/>
      <c r="K94" s="83"/>
      <c r="L94" s="83"/>
      <c r="M94" s="83"/>
      <c r="N94" s="8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80"/>
      <c r="B95" s="84">
        <v>2025.0</v>
      </c>
      <c r="C95" s="82" t="s">
        <v>56</v>
      </c>
      <c r="D95" s="82" t="s">
        <v>118</v>
      </c>
      <c r="E95" s="76">
        <f>'使用量'!E96*Sheet2!$B$4+'使用量'!G96*Sheet2!$C$3+'使用量'!I96*Sheet2!$D$3</f>
        <v>0</v>
      </c>
      <c r="F95" s="77">
        <f t="shared" si="6"/>
        <v>5509</v>
      </c>
      <c r="G95" s="77">
        <f>'使用量'!F96</f>
        <v>5509</v>
      </c>
      <c r="H95" s="77" t="str">
        <f>'使用量'!H96</f>
        <v/>
      </c>
      <c r="I95" s="78" t="str">
        <f>'使用量'!J96</f>
        <v/>
      </c>
      <c r="J95" s="83"/>
      <c r="K95" s="83"/>
      <c r="L95" s="83"/>
      <c r="M95" s="83"/>
      <c r="N95" s="8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80"/>
      <c r="B96" s="84">
        <v>2025.0</v>
      </c>
      <c r="C96" s="82" t="s">
        <v>58</v>
      </c>
      <c r="D96" s="82" t="s">
        <v>119</v>
      </c>
      <c r="E96" s="76">
        <f>'使用量'!E97*Sheet2!$B$4+'使用量'!G97*Sheet2!$C$3+'使用量'!I97*Sheet2!$D$3</f>
        <v>0</v>
      </c>
      <c r="F96" s="77">
        <f t="shared" si="6"/>
        <v>0</v>
      </c>
      <c r="G96" s="77" t="str">
        <f>'使用量'!F97</f>
        <v/>
      </c>
      <c r="H96" s="77" t="str">
        <f>'使用量'!H97</f>
        <v/>
      </c>
      <c r="I96" s="78" t="str">
        <f>'使用量'!J97</f>
        <v/>
      </c>
      <c r="J96" s="83"/>
      <c r="K96" s="83"/>
      <c r="L96" s="83"/>
      <c r="M96" s="83"/>
      <c r="N96" s="8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80"/>
      <c r="B97" s="84">
        <v>2025.0</v>
      </c>
      <c r="C97" s="82" t="s">
        <v>60</v>
      </c>
      <c r="D97" s="82" t="s">
        <v>120</v>
      </c>
      <c r="E97" s="76">
        <f>'使用量'!E98*Sheet2!$B$4+'使用量'!G98*Sheet2!$C$3+'使用量'!I98*Sheet2!$D$3</f>
        <v>0</v>
      </c>
      <c r="F97" s="77">
        <f t="shared" si="6"/>
        <v>0</v>
      </c>
      <c r="G97" s="77" t="str">
        <f>'使用量'!F98</f>
        <v/>
      </c>
      <c r="H97" s="77" t="str">
        <f>'使用量'!H98</f>
        <v/>
      </c>
      <c r="I97" s="78" t="str">
        <f>'使用量'!J98</f>
        <v/>
      </c>
      <c r="J97" s="83"/>
      <c r="K97" s="83"/>
      <c r="L97" s="83"/>
      <c r="M97" s="83"/>
      <c r="N97" s="8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80"/>
      <c r="B98" s="84">
        <v>2025.0</v>
      </c>
      <c r="C98" s="82" t="s">
        <v>62</v>
      </c>
      <c r="D98" s="82" t="s">
        <v>121</v>
      </c>
      <c r="E98" s="76">
        <f>'使用量'!E99*Sheet2!$B$4+'使用量'!G99*Sheet2!$C$3+'使用量'!I99*Sheet2!$D$3</f>
        <v>0</v>
      </c>
      <c r="F98" s="77">
        <f t="shared" si="6"/>
        <v>0</v>
      </c>
      <c r="G98" s="77" t="str">
        <f>'使用量'!F99</f>
        <v/>
      </c>
      <c r="H98" s="77" t="str">
        <f>'使用量'!H99</f>
        <v/>
      </c>
      <c r="I98" s="78" t="str">
        <f>'使用量'!J99</f>
        <v/>
      </c>
      <c r="J98" s="83"/>
      <c r="K98" s="83"/>
      <c r="L98" s="83"/>
      <c r="M98" s="83"/>
      <c r="N98" s="8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80"/>
      <c r="B99" s="84">
        <v>2025.0</v>
      </c>
      <c r="C99" s="82" t="s">
        <v>64</v>
      </c>
      <c r="D99" s="82" t="s">
        <v>122</v>
      </c>
      <c r="E99" s="76">
        <f>'使用量'!E100*Sheet2!$B$4+'使用量'!G100*Sheet2!$C$3+'使用量'!I100*Sheet2!$D$3</f>
        <v>0</v>
      </c>
      <c r="F99" s="77">
        <f t="shared" si="6"/>
        <v>0</v>
      </c>
      <c r="G99" s="77" t="str">
        <f>'使用量'!F100</f>
        <v/>
      </c>
      <c r="H99" s="77" t="str">
        <f>'使用量'!H100</f>
        <v/>
      </c>
      <c r="I99" s="78" t="str">
        <f>'使用量'!J100</f>
        <v/>
      </c>
      <c r="J99" s="83"/>
      <c r="K99" s="83"/>
      <c r="L99" s="83"/>
      <c r="M99" s="83"/>
      <c r="N99" s="8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80"/>
      <c r="B100" s="84">
        <v>2025.0</v>
      </c>
      <c r="C100" s="82" t="s">
        <v>66</v>
      </c>
      <c r="D100" s="82" t="s">
        <v>123</v>
      </c>
      <c r="E100" s="76">
        <f>'使用量'!E101*Sheet2!$B$4+'使用量'!G101*Sheet2!$C$3+'使用量'!I101*Sheet2!$D$3</f>
        <v>0</v>
      </c>
      <c r="F100" s="77">
        <f t="shared" si="6"/>
        <v>0</v>
      </c>
      <c r="G100" s="77" t="str">
        <f>'使用量'!F101</f>
        <v/>
      </c>
      <c r="H100" s="77" t="str">
        <f>'使用量'!H101</f>
        <v/>
      </c>
      <c r="I100" s="78" t="str">
        <f>'使用量'!J101</f>
        <v/>
      </c>
      <c r="J100" s="83"/>
      <c r="K100" s="83"/>
      <c r="L100" s="83"/>
      <c r="M100" s="83"/>
      <c r="N100" s="8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80"/>
      <c r="B101" s="84">
        <v>2025.0</v>
      </c>
      <c r="C101" s="82" t="s">
        <v>68</v>
      </c>
      <c r="D101" s="82" t="s">
        <v>124</v>
      </c>
      <c r="E101" s="76">
        <f>'使用量'!E102*Sheet2!$B$4+'使用量'!G102*Sheet2!$C$3+'使用量'!I102*Sheet2!$D$3</f>
        <v>0</v>
      </c>
      <c r="F101" s="77">
        <f t="shared" si="6"/>
        <v>0</v>
      </c>
      <c r="G101" s="77" t="str">
        <f>'使用量'!F102</f>
        <v/>
      </c>
      <c r="H101" s="77" t="str">
        <f>'使用量'!H102</f>
        <v/>
      </c>
      <c r="I101" s="78" t="str">
        <f>'使用量'!J102</f>
        <v/>
      </c>
      <c r="J101" s="83"/>
      <c r="K101" s="83"/>
      <c r="L101" s="83"/>
      <c r="M101" s="83"/>
      <c r="N101" s="8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80"/>
      <c r="B102" s="84">
        <v>2025.0</v>
      </c>
      <c r="C102" s="82" t="s">
        <v>70</v>
      </c>
      <c r="D102" s="82" t="s">
        <v>125</v>
      </c>
      <c r="E102" s="76">
        <f>'使用量'!E103*Sheet2!$B$4+'使用量'!G103*Sheet2!$C$3+'使用量'!I103*Sheet2!$D$3</f>
        <v>0</v>
      </c>
      <c r="F102" s="77">
        <f t="shared" si="6"/>
        <v>0</v>
      </c>
      <c r="G102" s="77" t="str">
        <f>'使用量'!F103</f>
        <v/>
      </c>
      <c r="H102" s="77" t="str">
        <f>'使用量'!H103</f>
        <v/>
      </c>
      <c r="I102" s="78" t="str">
        <f>'使用量'!J103</f>
        <v/>
      </c>
      <c r="J102" s="83"/>
      <c r="K102" s="83"/>
      <c r="L102" s="83"/>
      <c r="M102" s="83"/>
      <c r="N102" s="8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80"/>
      <c r="B103" s="84">
        <v>2025.0</v>
      </c>
      <c r="C103" s="82" t="s">
        <v>72</v>
      </c>
      <c r="D103" s="82" t="s">
        <v>126</v>
      </c>
      <c r="E103" s="76">
        <f>'使用量'!E104*Sheet2!$B$4+'使用量'!G104*Sheet2!$C$3+'使用量'!I104*Sheet2!$D$3</f>
        <v>0</v>
      </c>
      <c r="F103" s="77">
        <f t="shared" si="6"/>
        <v>0</v>
      </c>
      <c r="G103" s="77" t="str">
        <f>'使用量'!F104</f>
        <v/>
      </c>
      <c r="H103" s="77" t="str">
        <f>'使用量'!H104</f>
        <v/>
      </c>
      <c r="I103" s="78" t="str">
        <f>'使用量'!J104</f>
        <v/>
      </c>
      <c r="J103" s="83"/>
      <c r="K103" s="83"/>
      <c r="L103" s="83"/>
      <c r="M103" s="83"/>
      <c r="N103" s="8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80"/>
      <c r="B104" s="84">
        <v>2025.0</v>
      </c>
      <c r="C104" s="82" t="s">
        <v>74</v>
      </c>
      <c r="D104" s="82" t="s">
        <v>127</v>
      </c>
      <c r="E104" s="76">
        <f>'使用量'!E105*Sheet2!$B$4+'使用量'!G105*Sheet2!$C$3+'使用量'!I105*Sheet2!$D$3</f>
        <v>0</v>
      </c>
      <c r="F104" s="77">
        <f t="shared" si="6"/>
        <v>0</v>
      </c>
      <c r="G104" s="77" t="str">
        <f>'使用量'!F105</f>
        <v/>
      </c>
      <c r="H104" s="77" t="str">
        <f>'使用量'!H105</f>
        <v/>
      </c>
      <c r="I104" s="78" t="str">
        <f>'使用量'!J105</f>
        <v/>
      </c>
      <c r="J104" s="83"/>
      <c r="K104" s="83"/>
      <c r="L104" s="83"/>
      <c r="M104" s="83"/>
      <c r="N104" s="8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80"/>
      <c r="B105" s="84">
        <v>2025.0</v>
      </c>
      <c r="C105" s="82" t="s">
        <v>76</v>
      </c>
      <c r="D105" s="82" t="s">
        <v>128</v>
      </c>
      <c r="E105" s="76">
        <f>'使用量'!E106*Sheet2!$B$4+'使用量'!G106*Sheet2!$C$3+'使用量'!I106*Sheet2!$D$3</f>
        <v>0</v>
      </c>
      <c r="F105" s="77">
        <f t="shared" si="6"/>
        <v>0</v>
      </c>
      <c r="G105" s="77" t="str">
        <f>'使用量'!F106</f>
        <v/>
      </c>
      <c r="H105" s="77" t="str">
        <f>'使用量'!H106</f>
        <v/>
      </c>
      <c r="I105" s="78" t="str">
        <f>'使用量'!J106</f>
        <v/>
      </c>
      <c r="J105" s="83"/>
      <c r="K105" s="83"/>
      <c r="L105" s="83"/>
      <c r="M105" s="83"/>
      <c r="N105" s="8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80"/>
      <c r="B106" s="84">
        <v>2025.0</v>
      </c>
      <c r="C106" s="82" t="s">
        <v>78</v>
      </c>
      <c r="D106" s="82" t="s">
        <v>129</v>
      </c>
      <c r="E106" s="76">
        <f>'使用量'!E107*Sheet2!$B$4+'使用量'!G107*Sheet2!$C$3+'使用量'!I107*Sheet2!$D$3</f>
        <v>0</v>
      </c>
      <c r="F106" s="77">
        <f t="shared" si="6"/>
        <v>0</v>
      </c>
      <c r="G106" s="77" t="str">
        <f>'使用量'!F107</f>
        <v/>
      </c>
      <c r="H106" s="77" t="str">
        <f>'使用量'!H107</f>
        <v/>
      </c>
      <c r="I106" s="78" t="str">
        <f>'使用量'!J107</f>
        <v/>
      </c>
      <c r="J106" s="83"/>
      <c r="K106" s="83"/>
      <c r="L106" s="83"/>
      <c r="M106" s="83"/>
      <c r="N106" s="8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80"/>
      <c r="B107" s="84">
        <v>2026.0</v>
      </c>
      <c r="C107" s="82" t="s">
        <v>56</v>
      </c>
      <c r="D107" s="82" t="s">
        <v>130</v>
      </c>
      <c r="E107" s="76">
        <f>'使用量'!E108*Sheet2!$B$4+'使用量'!G108*Sheet2!$C$3+'使用量'!I108*Sheet2!$D$3</f>
        <v>0</v>
      </c>
      <c r="F107" s="77">
        <f t="shared" si="6"/>
        <v>0</v>
      </c>
      <c r="G107" s="77" t="str">
        <f>'使用量'!F108</f>
        <v/>
      </c>
      <c r="H107" s="77" t="str">
        <f>'使用量'!H108</f>
        <v/>
      </c>
      <c r="I107" s="78" t="str">
        <f>'使用量'!J108</f>
        <v/>
      </c>
      <c r="J107" s="83"/>
      <c r="K107" s="83"/>
      <c r="L107" s="83"/>
      <c r="M107" s="83"/>
      <c r="N107" s="8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80"/>
      <c r="B108" s="84">
        <v>2026.0</v>
      </c>
      <c r="C108" s="82" t="s">
        <v>58</v>
      </c>
      <c r="D108" s="82" t="s">
        <v>131</v>
      </c>
      <c r="E108" s="76">
        <f>'使用量'!E109*Sheet2!$B$4+'使用量'!G109*Sheet2!$C$3+'使用量'!I109*Sheet2!$D$3</f>
        <v>0</v>
      </c>
      <c r="F108" s="77">
        <f t="shared" si="6"/>
        <v>0</v>
      </c>
      <c r="G108" s="77" t="str">
        <f>'使用量'!F109</f>
        <v/>
      </c>
      <c r="H108" s="77" t="str">
        <f>'使用量'!H109</f>
        <v/>
      </c>
      <c r="I108" s="78" t="str">
        <f>'使用量'!J109</f>
        <v/>
      </c>
      <c r="J108" s="83"/>
      <c r="K108" s="83"/>
      <c r="L108" s="83"/>
      <c r="M108" s="83"/>
      <c r="N108" s="8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80"/>
      <c r="B109" s="84">
        <v>2026.0</v>
      </c>
      <c r="C109" s="82" t="s">
        <v>60</v>
      </c>
      <c r="D109" s="82" t="s">
        <v>132</v>
      </c>
      <c r="E109" s="76">
        <f>'使用量'!E110*Sheet2!$B$4+'使用量'!G110*Sheet2!$C$3+'使用量'!I110*Sheet2!$D$3</f>
        <v>0</v>
      </c>
      <c r="F109" s="77">
        <f t="shared" si="6"/>
        <v>0</v>
      </c>
      <c r="G109" s="77" t="str">
        <f>'使用量'!F110</f>
        <v/>
      </c>
      <c r="H109" s="77" t="str">
        <f>'使用量'!H110</f>
        <v/>
      </c>
      <c r="I109" s="78" t="str">
        <f>'使用量'!J110</f>
        <v/>
      </c>
      <c r="J109" s="83"/>
      <c r="K109" s="83"/>
      <c r="L109" s="83"/>
      <c r="M109" s="83"/>
      <c r="N109" s="8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80"/>
      <c r="B110" s="84">
        <v>2026.0</v>
      </c>
      <c r="C110" s="82" t="s">
        <v>62</v>
      </c>
      <c r="D110" s="82" t="s">
        <v>133</v>
      </c>
      <c r="E110" s="76">
        <f>'使用量'!E111*Sheet2!$B$4+'使用量'!G111*Sheet2!$C$3+'使用量'!I111*Sheet2!$D$3</f>
        <v>0</v>
      </c>
      <c r="F110" s="77">
        <f t="shared" si="6"/>
        <v>0</v>
      </c>
      <c r="G110" s="77" t="str">
        <f>'使用量'!F111</f>
        <v/>
      </c>
      <c r="H110" s="77" t="str">
        <f>'使用量'!H111</f>
        <v/>
      </c>
      <c r="I110" s="78" t="str">
        <f>'使用量'!J111</f>
        <v/>
      </c>
      <c r="J110" s="83"/>
      <c r="K110" s="83"/>
      <c r="L110" s="83"/>
      <c r="M110" s="83"/>
      <c r="N110" s="8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83"/>
      <c r="B111" s="85"/>
      <c r="C111" s="86"/>
      <c r="D111" s="86"/>
      <c r="E111" s="87"/>
      <c r="F111" s="88"/>
      <c r="G111" s="88"/>
      <c r="H111" s="88"/>
      <c r="I111" s="89"/>
      <c r="J111" s="83"/>
      <c r="K111" s="83"/>
      <c r="L111" s="83"/>
      <c r="M111" s="83"/>
      <c r="N111" s="8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83"/>
      <c r="B112" s="85"/>
      <c r="C112" s="86"/>
      <c r="D112" s="86"/>
      <c r="E112" s="87"/>
      <c r="F112" s="88"/>
      <c r="G112" s="88"/>
      <c r="H112" s="88"/>
      <c r="I112" s="89"/>
      <c r="J112" s="83"/>
      <c r="K112" s="83"/>
      <c r="L112" s="83"/>
      <c r="M112" s="83"/>
      <c r="N112" s="8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83"/>
      <c r="B113" s="85"/>
      <c r="C113" s="86"/>
      <c r="D113" s="86"/>
      <c r="E113" s="87"/>
      <c r="F113" s="88"/>
      <c r="G113" s="88"/>
      <c r="H113" s="88"/>
      <c r="I113" s="89"/>
      <c r="J113" s="83"/>
      <c r="K113" s="83"/>
      <c r="L113" s="83"/>
      <c r="M113" s="83"/>
      <c r="N113" s="8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83"/>
      <c r="B114" s="85"/>
      <c r="C114" s="86"/>
      <c r="D114" s="86"/>
      <c r="E114" s="87"/>
      <c r="F114" s="88"/>
      <c r="G114" s="88"/>
      <c r="H114" s="88"/>
      <c r="I114" s="89"/>
      <c r="J114" s="83"/>
      <c r="K114" s="83"/>
      <c r="L114" s="83"/>
      <c r="M114" s="83"/>
      <c r="N114" s="8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83"/>
      <c r="B115" s="85"/>
      <c r="C115" s="86"/>
      <c r="D115" s="86"/>
      <c r="E115" s="87"/>
      <c r="F115" s="88"/>
      <c r="G115" s="88"/>
      <c r="H115" s="88"/>
      <c r="I115" s="89"/>
      <c r="J115" s="83"/>
      <c r="K115" s="83"/>
      <c r="L115" s="83"/>
      <c r="M115" s="83"/>
      <c r="N115" s="8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83"/>
      <c r="B116" s="85"/>
      <c r="C116" s="86"/>
      <c r="D116" s="86"/>
      <c r="E116" s="87"/>
      <c r="F116" s="88"/>
      <c r="G116" s="88"/>
      <c r="H116" s="88"/>
      <c r="I116" s="89"/>
      <c r="J116" s="83"/>
      <c r="K116" s="83"/>
      <c r="L116" s="83"/>
      <c r="M116" s="83"/>
      <c r="N116" s="8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83"/>
      <c r="B117" s="85"/>
      <c r="C117" s="86"/>
      <c r="D117" s="86"/>
      <c r="E117" s="87"/>
      <c r="F117" s="88"/>
      <c r="G117" s="88"/>
      <c r="H117" s="88"/>
      <c r="I117" s="89"/>
      <c r="J117" s="83"/>
      <c r="K117" s="83"/>
      <c r="L117" s="83"/>
      <c r="M117" s="83"/>
      <c r="N117" s="8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83"/>
      <c r="B118" s="85"/>
      <c r="C118" s="86"/>
      <c r="D118" s="86"/>
      <c r="E118" s="87"/>
      <c r="F118" s="88"/>
      <c r="G118" s="88"/>
      <c r="H118" s="88"/>
      <c r="I118" s="89"/>
      <c r="J118" s="83"/>
      <c r="K118" s="83"/>
      <c r="L118" s="83"/>
      <c r="M118" s="83"/>
      <c r="N118" s="8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83"/>
      <c r="B119" s="85"/>
      <c r="C119" s="86"/>
      <c r="D119" s="86"/>
      <c r="E119" s="87"/>
      <c r="F119" s="88"/>
      <c r="G119" s="88"/>
      <c r="H119" s="88"/>
      <c r="I119" s="89"/>
      <c r="J119" s="83"/>
      <c r="K119" s="83"/>
      <c r="L119" s="83"/>
      <c r="M119" s="83"/>
      <c r="N119" s="8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83"/>
      <c r="B120" s="85"/>
      <c r="C120" s="86"/>
      <c r="D120" s="86"/>
      <c r="E120" s="87"/>
      <c r="F120" s="88"/>
      <c r="G120" s="88"/>
      <c r="H120" s="88"/>
      <c r="I120" s="89"/>
      <c r="J120" s="83"/>
      <c r="K120" s="83"/>
      <c r="L120" s="83"/>
      <c r="M120" s="83"/>
      <c r="N120" s="8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83"/>
      <c r="B121" s="85"/>
      <c r="C121" s="86"/>
      <c r="D121" s="86"/>
      <c r="E121" s="87"/>
      <c r="F121" s="88"/>
      <c r="G121" s="88"/>
      <c r="H121" s="88"/>
      <c r="I121" s="89"/>
      <c r="J121" s="83"/>
      <c r="K121" s="83"/>
      <c r="L121" s="83"/>
      <c r="M121" s="83"/>
      <c r="N121" s="8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83"/>
      <c r="B122" s="85"/>
      <c r="C122" s="86"/>
      <c r="D122" s="86"/>
      <c r="E122" s="87"/>
      <c r="F122" s="88"/>
      <c r="G122" s="88"/>
      <c r="H122" s="88"/>
      <c r="I122" s="89"/>
      <c r="J122" s="83"/>
      <c r="K122" s="83"/>
      <c r="L122" s="83"/>
      <c r="M122" s="83"/>
      <c r="N122" s="8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83"/>
      <c r="B123" s="85"/>
      <c r="C123" s="86"/>
      <c r="D123" s="86"/>
      <c r="E123" s="87"/>
      <c r="F123" s="88"/>
      <c r="G123" s="88"/>
      <c r="H123" s="88"/>
      <c r="I123" s="89"/>
      <c r="J123" s="83"/>
      <c r="K123" s="83"/>
      <c r="L123" s="83"/>
      <c r="M123" s="83"/>
      <c r="N123" s="8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83"/>
      <c r="B124" s="85"/>
      <c r="C124" s="86"/>
      <c r="D124" s="86"/>
      <c r="E124" s="87"/>
      <c r="F124" s="88"/>
      <c r="G124" s="88"/>
      <c r="H124" s="88"/>
      <c r="I124" s="89"/>
      <c r="J124" s="83"/>
      <c r="K124" s="83"/>
      <c r="L124" s="83"/>
      <c r="M124" s="83"/>
      <c r="N124" s="8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83"/>
      <c r="B125" s="85"/>
      <c r="C125" s="86"/>
      <c r="D125" s="86"/>
      <c r="E125" s="87"/>
      <c r="F125" s="88"/>
      <c r="G125" s="88"/>
      <c r="H125" s="88"/>
      <c r="I125" s="89"/>
      <c r="J125" s="83"/>
      <c r="K125" s="83"/>
      <c r="L125" s="83"/>
      <c r="M125" s="83"/>
      <c r="N125" s="8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83"/>
      <c r="B126" s="85"/>
      <c r="C126" s="86"/>
      <c r="D126" s="86"/>
      <c r="E126" s="87"/>
      <c r="F126" s="88"/>
      <c r="G126" s="88"/>
      <c r="H126" s="88"/>
      <c r="I126" s="89"/>
      <c r="J126" s="83"/>
      <c r="K126" s="83"/>
      <c r="L126" s="83"/>
      <c r="M126" s="83"/>
      <c r="N126" s="8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83"/>
      <c r="B127" s="85"/>
      <c r="C127" s="86"/>
      <c r="D127" s="86"/>
      <c r="E127" s="87"/>
      <c r="F127" s="88"/>
      <c r="G127" s="88"/>
      <c r="H127" s="88"/>
      <c r="I127" s="89"/>
      <c r="J127" s="83"/>
      <c r="K127" s="83"/>
      <c r="L127" s="83"/>
      <c r="M127" s="83"/>
      <c r="N127" s="8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83"/>
      <c r="B128" s="85"/>
      <c r="C128" s="86"/>
      <c r="D128" s="86"/>
      <c r="E128" s="87"/>
      <c r="F128" s="88"/>
      <c r="G128" s="88"/>
      <c r="H128" s="88"/>
      <c r="I128" s="89"/>
      <c r="J128" s="83"/>
      <c r="K128" s="83"/>
      <c r="L128" s="83"/>
      <c r="M128" s="83"/>
      <c r="N128" s="8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90"/>
      <c r="C129" s="91"/>
      <c r="D129" s="91" t="s">
        <v>149</v>
      </c>
      <c r="E129" s="92"/>
      <c r="F129" s="92" t="s">
        <v>150</v>
      </c>
      <c r="G129" s="92" t="s">
        <v>151</v>
      </c>
      <c r="H129" s="5"/>
      <c r="I129" s="5"/>
      <c r="J129" s="5" t="s">
        <v>149</v>
      </c>
      <c r="K129" s="92" t="s">
        <v>150</v>
      </c>
      <c r="L129" s="92" t="s">
        <v>151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90"/>
      <c r="C130" s="91">
        <v>99.84500000000001</v>
      </c>
      <c r="D130" s="91">
        <v>7567.5</v>
      </c>
      <c r="E130" s="5">
        <v>78.428</v>
      </c>
      <c r="F130" s="5">
        <v>6349.5</v>
      </c>
      <c r="G130" s="62">
        <v>16.185</v>
      </c>
      <c r="H130" s="63">
        <v>6869.0</v>
      </c>
      <c r="I130" s="1" t="s">
        <v>136</v>
      </c>
      <c r="J130" s="5">
        <f>sum(C130:C139)</f>
        <v>1290.649</v>
      </c>
      <c r="K130" s="5">
        <f>SUM(E130:E139)</f>
        <v>1039.136</v>
      </c>
      <c r="L130" s="71">
        <f>SUM(G130:G139)</f>
        <v>329.55</v>
      </c>
      <c r="M130" s="5"/>
      <c r="N130" s="5">
        <v>1290.6490000000001</v>
      </c>
      <c r="O130" s="5">
        <v>1039.136</v>
      </c>
      <c r="P130" s="5">
        <v>329.55000000000007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90"/>
      <c r="C131" s="91">
        <v>125.12200000000001</v>
      </c>
      <c r="D131" s="91">
        <v>8826.5</v>
      </c>
      <c r="E131" s="5">
        <v>83.117</v>
      </c>
      <c r="F131" s="5">
        <v>6494.5</v>
      </c>
      <c r="G131" s="62">
        <v>13.975000000000001</v>
      </c>
      <c r="H131" s="63">
        <v>7314.0</v>
      </c>
      <c r="I131" s="2" t="s">
        <v>137</v>
      </c>
      <c r="J131" s="5">
        <f>SUM(D130:D139)</f>
        <v>95018</v>
      </c>
      <c r="K131" s="5">
        <f>SUM(F130:F139)</f>
        <v>74054</v>
      </c>
      <c r="L131" s="22">
        <f>SUM(H130:H139)</f>
        <v>84581</v>
      </c>
      <c r="M131" s="5"/>
      <c r="N131" s="5">
        <v>95018.0</v>
      </c>
      <c r="O131" s="5">
        <v>74054.0</v>
      </c>
      <c r="P131" s="5">
        <v>84581.0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90"/>
      <c r="C132" s="91">
        <v>129.178</v>
      </c>
      <c r="D132" s="91">
        <v>8979.5</v>
      </c>
      <c r="E132" s="5">
        <v>110.926</v>
      </c>
      <c r="F132" s="5">
        <v>7760.0</v>
      </c>
      <c r="G132" s="62">
        <v>14.625</v>
      </c>
      <c r="H132" s="63">
        <v>9595.0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90"/>
      <c r="C133" s="91">
        <v>122.783</v>
      </c>
      <c r="D133" s="91">
        <v>8780.5</v>
      </c>
      <c r="E133" s="5">
        <v>122.136</v>
      </c>
      <c r="F133" s="5">
        <v>8092.0</v>
      </c>
      <c r="G133" s="62">
        <v>14.625</v>
      </c>
      <c r="H133" s="63">
        <v>7477.0</v>
      </c>
      <c r="I133" s="5"/>
      <c r="J133" s="1" t="s">
        <v>136</v>
      </c>
      <c r="K133" s="2" t="s">
        <v>137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90"/>
      <c r="C134" s="91">
        <v>105.83099999999999</v>
      </c>
      <c r="D134" s="91">
        <v>8157.0</v>
      </c>
      <c r="E134" s="5">
        <v>97.41900000000001</v>
      </c>
      <c r="F134" s="5">
        <v>7092.5</v>
      </c>
      <c r="G134" s="62">
        <v>24.44</v>
      </c>
      <c r="H134" s="63">
        <v>7691.0</v>
      </c>
      <c r="I134" s="5" t="s">
        <v>149</v>
      </c>
      <c r="J134" s="5">
        <v>1290.6490000000001</v>
      </c>
      <c r="K134" s="5">
        <v>95018.0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90"/>
      <c r="C135" s="91">
        <v>114.94</v>
      </c>
      <c r="D135" s="91">
        <v>8745.0</v>
      </c>
      <c r="E135" s="5">
        <v>83.369</v>
      </c>
      <c r="F135" s="5">
        <v>6260.5</v>
      </c>
      <c r="G135" s="62">
        <v>33.28</v>
      </c>
      <c r="H135" s="63">
        <v>6841.0</v>
      </c>
      <c r="I135" s="92" t="s">
        <v>150</v>
      </c>
      <c r="J135" s="5">
        <v>1039.136</v>
      </c>
      <c r="K135" s="5">
        <v>74054.0</v>
      </c>
      <c r="L135" s="93">
        <f t="shared" ref="L135:M135" si="7">1-J135/J$134</f>
        <v>0.1948732769</v>
      </c>
      <c r="M135" s="93">
        <f t="shared" si="7"/>
        <v>0.2206318803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90"/>
      <c r="C136" s="91">
        <v>137.441</v>
      </c>
      <c r="D136" s="91">
        <v>10495.5</v>
      </c>
      <c r="E136" s="5">
        <v>104.363</v>
      </c>
      <c r="F136" s="5">
        <v>7585.0</v>
      </c>
      <c r="G136" s="62">
        <v>43.68</v>
      </c>
      <c r="H136" s="63">
        <v>7621.0</v>
      </c>
      <c r="I136" s="92" t="s">
        <v>151</v>
      </c>
      <c r="J136" s="5">
        <v>329.55000000000007</v>
      </c>
      <c r="K136" s="5">
        <v>84581.0</v>
      </c>
      <c r="L136" s="93">
        <f t="shared" ref="L136:M136" si="8">1-J136/J$134</f>
        <v>0.7446633438</v>
      </c>
      <c r="M136" s="93">
        <f t="shared" si="8"/>
        <v>0.1098423457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90"/>
      <c r="C137" s="91">
        <v>182.717</v>
      </c>
      <c r="D137" s="91">
        <v>13190.5</v>
      </c>
      <c r="E137" s="5">
        <v>141.034</v>
      </c>
      <c r="F137" s="5">
        <v>9226.0</v>
      </c>
      <c r="G137" s="62">
        <v>37.05</v>
      </c>
      <c r="H137" s="63">
        <v>9750.0</v>
      </c>
      <c r="I137" s="5"/>
      <c r="J137" s="5">
        <f t="shared" ref="J137:K137" si="9">J134-J136</f>
        <v>961.099</v>
      </c>
      <c r="K137" s="5">
        <f t="shared" si="9"/>
        <v>10437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90"/>
      <c r="C138" s="91">
        <v>143.169</v>
      </c>
      <c r="D138" s="91">
        <v>10779.5</v>
      </c>
      <c r="E138" s="5">
        <v>111.13000000000001</v>
      </c>
      <c r="F138" s="5">
        <v>7584.5</v>
      </c>
      <c r="G138" s="62">
        <v>65.845</v>
      </c>
      <c r="H138" s="63">
        <v>11175.0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90"/>
      <c r="C139" s="91">
        <v>129.623</v>
      </c>
      <c r="D139" s="91">
        <v>9496.5</v>
      </c>
      <c r="E139" s="5">
        <v>107.21400000000001</v>
      </c>
      <c r="F139" s="5">
        <v>7609.5</v>
      </c>
      <c r="G139" s="5">
        <v>65.845</v>
      </c>
      <c r="H139" s="5">
        <v>10248.0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90"/>
      <c r="C140" s="94"/>
      <c r="D140" s="9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90"/>
      <c r="C141" s="91"/>
      <c r="D141" s="9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90"/>
      <c r="C142" s="91"/>
      <c r="D142" s="9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90"/>
      <c r="C143" s="91"/>
      <c r="D143" s="9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90"/>
      <c r="C144" s="91"/>
      <c r="D144" s="9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90"/>
      <c r="C145" s="91"/>
      <c r="D145" s="9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90"/>
      <c r="C146" s="91"/>
      <c r="D146" s="9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90"/>
      <c r="C147" s="91"/>
      <c r="D147" s="9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90"/>
      <c r="C148" s="91"/>
      <c r="D148" s="9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90"/>
      <c r="C149" s="91"/>
      <c r="D149" s="9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90"/>
      <c r="C150" s="91"/>
      <c r="D150" s="9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90"/>
      <c r="C151" s="91"/>
      <c r="D151" s="9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90"/>
      <c r="C152" s="91"/>
      <c r="D152" s="9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90"/>
      <c r="C153" s="91"/>
      <c r="D153" s="9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90"/>
      <c r="C154" s="91"/>
      <c r="D154" s="9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90"/>
      <c r="C155" s="91"/>
      <c r="D155" s="9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90"/>
      <c r="C156" s="91"/>
      <c r="D156" s="9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90"/>
      <c r="C157" s="91"/>
      <c r="D157" s="9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90"/>
      <c r="C158" s="91"/>
      <c r="D158" s="9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90"/>
      <c r="C159" s="91"/>
      <c r="D159" s="9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90"/>
      <c r="C160" s="91"/>
      <c r="D160" s="9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90"/>
      <c r="C161" s="91"/>
      <c r="D161" s="9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90"/>
      <c r="C162" s="91"/>
      <c r="D162" s="9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90"/>
      <c r="C163" s="91"/>
      <c r="D163" s="9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90"/>
      <c r="C164" s="91"/>
      <c r="D164" s="9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90"/>
      <c r="C165" s="91"/>
      <c r="D165" s="9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90"/>
      <c r="C166" s="91"/>
      <c r="D166" s="9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90"/>
      <c r="C167" s="91"/>
      <c r="D167" s="9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90"/>
      <c r="C168" s="91"/>
      <c r="D168" s="9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90"/>
      <c r="C169" s="91"/>
      <c r="D169" s="9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90"/>
      <c r="C170" s="91"/>
      <c r="D170" s="9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90"/>
      <c r="C171" s="91"/>
      <c r="D171" s="9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90"/>
      <c r="C172" s="91"/>
      <c r="D172" s="9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90"/>
      <c r="C173" s="91"/>
      <c r="D173" s="9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90"/>
      <c r="C174" s="91"/>
      <c r="D174" s="9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90"/>
      <c r="C175" s="91"/>
      <c r="D175" s="9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90"/>
      <c r="C176" s="91"/>
      <c r="D176" s="9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90"/>
      <c r="C177" s="91"/>
      <c r="D177" s="9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90"/>
      <c r="C178" s="91"/>
      <c r="D178" s="9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90"/>
      <c r="C179" s="91"/>
      <c r="D179" s="9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90"/>
      <c r="C180" s="91"/>
      <c r="D180" s="9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90"/>
      <c r="C181" s="91"/>
      <c r="D181" s="9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90"/>
      <c r="C182" s="91"/>
      <c r="D182" s="9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90"/>
      <c r="C183" s="91"/>
      <c r="D183" s="9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90"/>
      <c r="C184" s="91"/>
      <c r="D184" s="9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90"/>
      <c r="C185" s="91"/>
      <c r="D185" s="9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90"/>
      <c r="C186" s="91"/>
      <c r="D186" s="9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90"/>
      <c r="C187" s="91"/>
      <c r="D187" s="9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90"/>
      <c r="C188" s="91"/>
      <c r="D188" s="9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90"/>
      <c r="C189" s="91"/>
      <c r="D189" s="9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90"/>
      <c r="C190" s="91"/>
      <c r="D190" s="9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90"/>
      <c r="C191" s="91"/>
      <c r="D191" s="9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90"/>
      <c r="C192" s="91"/>
      <c r="D192" s="9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90"/>
      <c r="C193" s="91"/>
      <c r="D193" s="9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90"/>
      <c r="C194" s="91"/>
      <c r="D194" s="9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90"/>
      <c r="C195" s="91"/>
      <c r="D195" s="9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90"/>
      <c r="C196" s="91"/>
      <c r="D196" s="9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90"/>
      <c r="C197" s="91"/>
      <c r="D197" s="9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90"/>
      <c r="C198" s="91"/>
      <c r="D198" s="9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90"/>
      <c r="C199" s="91"/>
      <c r="D199" s="9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90"/>
      <c r="C200" s="91"/>
      <c r="D200" s="9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90"/>
      <c r="C201" s="91"/>
      <c r="D201" s="9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90"/>
      <c r="C202" s="91"/>
      <c r="D202" s="9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90"/>
      <c r="C203" s="91"/>
      <c r="D203" s="9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90"/>
      <c r="C204" s="91"/>
      <c r="D204" s="9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90"/>
      <c r="C205" s="91"/>
      <c r="D205" s="9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90"/>
      <c r="C206" s="91"/>
      <c r="D206" s="9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90"/>
      <c r="C207" s="91"/>
      <c r="D207" s="9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90"/>
      <c r="C208" s="91"/>
      <c r="D208" s="9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90"/>
      <c r="C209" s="91"/>
      <c r="D209" s="9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90"/>
      <c r="C210" s="91"/>
      <c r="D210" s="9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90"/>
      <c r="C211" s="91"/>
      <c r="D211" s="9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90"/>
      <c r="C212" s="91"/>
      <c r="D212" s="9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90"/>
      <c r="C213" s="91"/>
      <c r="D213" s="9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90"/>
      <c r="C214" s="91"/>
      <c r="D214" s="9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90"/>
      <c r="C215" s="91"/>
      <c r="D215" s="9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90"/>
      <c r="C216" s="91"/>
      <c r="D216" s="9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90"/>
      <c r="C217" s="91"/>
      <c r="D217" s="9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90"/>
      <c r="C218" s="91"/>
      <c r="D218" s="9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90"/>
      <c r="C219" s="91"/>
      <c r="D219" s="9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90"/>
      <c r="C220" s="91"/>
      <c r="D220" s="9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90"/>
      <c r="C221" s="91"/>
      <c r="D221" s="9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90"/>
      <c r="C222" s="91"/>
      <c r="D222" s="9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90"/>
      <c r="C223" s="91"/>
      <c r="D223" s="9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90"/>
      <c r="C224" s="91"/>
      <c r="D224" s="9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90"/>
      <c r="C225" s="91"/>
      <c r="D225" s="9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90"/>
      <c r="C226" s="91"/>
      <c r="D226" s="9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90"/>
      <c r="C227" s="91"/>
      <c r="D227" s="9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90"/>
      <c r="C228" s="91"/>
      <c r="D228" s="9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90"/>
      <c r="C229" s="91"/>
      <c r="D229" s="9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90"/>
      <c r="C230" s="91"/>
      <c r="D230" s="9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90"/>
      <c r="C231" s="91"/>
      <c r="D231" s="9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90"/>
      <c r="C232" s="91"/>
      <c r="D232" s="9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90"/>
      <c r="C233" s="91"/>
      <c r="D233" s="9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90"/>
      <c r="C234" s="91"/>
      <c r="D234" s="9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90"/>
      <c r="C235" s="91"/>
      <c r="D235" s="9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90"/>
      <c r="C236" s="91"/>
      <c r="D236" s="9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90"/>
      <c r="C237" s="91"/>
      <c r="D237" s="9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90"/>
      <c r="C238" s="91"/>
      <c r="D238" s="9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90"/>
      <c r="C239" s="91"/>
      <c r="D239" s="9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90"/>
      <c r="C240" s="91"/>
      <c r="D240" s="9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90"/>
      <c r="C241" s="91"/>
      <c r="D241" s="9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90"/>
      <c r="C242" s="91"/>
      <c r="D242" s="9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90"/>
      <c r="C243" s="91"/>
      <c r="D243" s="9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90"/>
      <c r="C244" s="91"/>
      <c r="D244" s="9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90"/>
      <c r="C245" s="91"/>
      <c r="D245" s="9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90"/>
      <c r="C246" s="91"/>
      <c r="D246" s="9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90"/>
      <c r="C247" s="91"/>
      <c r="D247" s="9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90"/>
      <c r="C248" s="91"/>
      <c r="D248" s="9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90"/>
      <c r="C249" s="91"/>
      <c r="D249" s="9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90"/>
      <c r="C250" s="91"/>
      <c r="D250" s="9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90"/>
      <c r="C251" s="91"/>
      <c r="D251" s="9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90"/>
      <c r="C252" s="91"/>
      <c r="D252" s="9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90"/>
      <c r="C253" s="91"/>
      <c r="D253" s="9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90"/>
      <c r="C254" s="91"/>
      <c r="D254" s="9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90"/>
      <c r="C255" s="91"/>
      <c r="D255" s="9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90"/>
      <c r="C256" s="91"/>
      <c r="D256" s="9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90"/>
      <c r="C257" s="91"/>
      <c r="D257" s="9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90"/>
      <c r="C258" s="91"/>
      <c r="D258" s="9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90"/>
      <c r="C259" s="91"/>
      <c r="D259" s="9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90"/>
      <c r="C260" s="91"/>
      <c r="D260" s="9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90"/>
      <c r="C261" s="91"/>
      <c r="D261" s="9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90"/>
      <c r="C262" s="91"/>
      <c r="D262" s="9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90"/>
      <c r="C263" s="91"/>
      <c r="D263" s="9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90"/>
      <c r="C264" s="91"/>
      <c r="D264" s="9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90"/>
      <c r="C265" s="91"/>
      <c r="D265" s="9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90"/>
      <c r="C266" s="91"/>
      <c r="D266" s="9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90"/>
      <c r="C267" s="91"/>
      <c r="D267" s="9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90"/>
      <c r="C268" s="91"/>
      <c r="D268" s="9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90"/>
      <c r="C269" s="91"/>
      <c r="D269" s="9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90"/>
      <c r="C270" s="91"/>
      <c r="D270" s="9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90"/>
      <c r="C271" s="91"/>
      <c r="D271" s="9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90"/>
      <c r="C272" s="91"/>
      <c r="D272" s="9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90"/>
      <c r="C273" s="91"/>
      <c r="D273" s="9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90"/>
      <c r="C274" s="91"/>
      <c r="D274" s="9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90"/>
      <c r="C275" s="91"/>
      <c r="D275" s="9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90"/>
      <c r="C276" s="91"/>
      <c r="D276" s="9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90"/>
      <c r="C277" s="91"/>
      <c r="D277" s="9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90"/>
      <c r="C278" s="91"/>
      <c r="D278" s="9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90"/>
      <c r="C279" s="91"/>
      <c r="D279" s="9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90"/>
      <c r="C280" s="91"/>
      <c r="D280" s="9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90"/>
      <c r="C281" s="91"/>
      <c r="D281" s="9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90"/>
      <c r="C282" s="91"/>
      <c r="D282" s="9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90"/>
      <c r="C283" s="91"/>
      <c r="D283" s="9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90"/>
      <c r="C284" s="91"/>
      <c r="D284" s="9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90"/>
      <c r="C285" s="91"/>
      <c r="D285" s="9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90"/>
      <c r="C286" s="91"/>
      <c r="D286" s="9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90"/>
      <c r="C287" s="91"/>
      <c r="D287" s="9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90"/>
      <c r="C288" s="91"/>
      <c r="D288" s="9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90"/>
      <c r="C289" s="91"/>
      <c r="D289" s="9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90"/>
      <c r="C290" s="91"/>
      <c r="D290" s="9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90"/>
      <c r="C291" s="91"/>
      <c r="D291" s="9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90"/>
      <c r="C292" s="91"/>
      <c r="D292" s="9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90"/>
      <c r="C293" s="91"/>
      <c r="D293" s="9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90"/>
      <c r="C294" s="91"/>
      <c r="D294" s="9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90"/>
      <c r="C295" s="91"/>
      <c r="D295" s="9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90"/>
      <c r="C296" s="91"/>
      <c r="D296" s="91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90"/>
      <c r="C297" s="91"/>
      <c r="D297" s="91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90"/>
      <c r="C298" s="91"/>
      <c r="D298" s="91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90"/>
      <c r="C299" s="91"/>
      <c r="D299" s="91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90"/>
      <c r="C300" s="91"/>
      <c r="D300" s="91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90"/>
      <c r="C301" s="91"/>
      <c r="D301" s="91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90"/>
      <c r="C302" s="91"/>
      <c r="D302" s="91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90"/>
      <c r="C303" s="91"/>
      <c r="D303" s="91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90"/>
      <c r="C304" s="91"/>
      <c r="D304" s="91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90"/>
      <c r="C305" s="91"/>
      <c r="D305" s="91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90"/>
      <c r="C306" s="91"/>
      <c r="D306" s="9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90"/>
      <c r="C307" s="91"/>
      <c r="D307" s="9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90"/>
      <c r="C308" s="91"/>
      <c r="D308" s="9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90"/>
      <c r="C309" s="91"/>
      <c r="D309" s="9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90"/>
      <c r="C310" s="91"/>
      <c r="D310" s="9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90"/>
      <c r="C311" s="91"/>
      <c r="D311" s="9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90"/>
      <c r="C312" s="91"/>
      <c r="D312" s="9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90"/>
      <c r="C313" s="91"/>
      <c r="D313" s="9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90"/>
      <c r="C314" s="91"/>
      <c r="D314" s="9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90"/>
      <c r="C315" s="91"/>
      <c r="D315" s="9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90"/>
      <c r="C316" s="91"/>
      <c r="D316" s="9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90"/>
      <c r="C317" s="91"/>
      <c r="D317" s="9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90"/>
      <c r="C318" s="91"/>
      <c r="D318" s="9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90"/>
      <c r="C319" s="91"/>
      <c r="D319" s="9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90"/>
      <c r="C320" s="91"/>
      <c r="D320" s="9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90"/>
      <c r="C321" s="91"/>
      <c r="D321" s="9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90"/>
      <c r="C322" s="91"/>
      <c r="D322" s="9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90"/>
      <c r="C323" s="91"/>
      <c r="D323" s="9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90"/>
      <c r="C324" s="91"/>
      <c r="D324" s="9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90"/>
      <c r="C325" s="91"/>
      <c r="D325" s="9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90"/>
      <c r="C326" s="91"/>
      <c r="D326" s="9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90"/>
      <c r="C327" s="91"/>
      <c r="D327" s="9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90"/>
      <c r="C328" s="91"/>
      <c r="D328" s="9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90"/>
      <c r="C329" s="91"/>
      <c r="D329" s="9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90"/>
      <c r="C330" s="91"/>
      <c r="D330" s="9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90"/>
      <c r="C331" s="91"/>
      <c r="D331" s="9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90"/>
      <c r="C332" s="91"/>
      <c r="D332" s="9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90"/>
      <c r="C333" s="91"/>
      <c r="D333" s="9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90"/>
      <c r="C334" s="91"/>
      <c r="D334" s="9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90"/>
      <c r="C335" s="91"/>
      <c r="D335" s="9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90"/>
      <c r="C336" s="91"/>
      <c r="D336" s="9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90"/>
      <c r="C337" s="91"/>
      <c r="D337" s="9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90"/>
      <c r="C338" s="91"/>
      <c r="D338" s="9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90"/>
      <c r="C339" s="91"/>
      <c r="D339" s="9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90"/>
      <c r="C340" s="91"/>
      <c r="D340" s="9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90"/>
      <c r="C341" s="91"/>
      <c r="D341" s="9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90"/>
      <c r="C342" s="91"/>
      <c r="D342" s="9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90"/>
      <c r="C343" s="91"/>
      <c r="D343" s="9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90"/>
      <c r="C344" s="91"/>
      <c r="D344" s="9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90"/>
      <c r="C345" s="91"/>
      <c r="D345" s="9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90"/>
      <c r="C346" s="91"/>
      <c r="D346" s="9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90"/>
      <c r="C347" s="91"/>
      <c r="D347" s="9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90"/>
      <c r="C348" s="91"/>
      <c r="D348" s="9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90"/>
      <c r="C349" s="91"/>
      <c r="D349" s="9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90"/>
      <c r="C350" s="91"/>
      <c r="D350" s="9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90"/>
      <c r="C351" s="91"/>
      <c r="D351" s="9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90"/>
      <c r="C352" s="91"/>
      <c r="D352" s="9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90"/>
      <c r="C353" s="91"/>
      <c r="D353" s="9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90"/>
      <c r="C354" s="91"/>
      <c r="D354" s="9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90"/>
      <c r="C355" s="91"/>
      <c r="D355" s="9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90"/>
      <c r="C356" s="91"/>
      <c r="D356" s="9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90"/>
      <c r="C357" s="91"/>
      <c r="D357" s="9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90"/>
      <c r="C358" s="91"/>
      <c r="D358" s="9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90"/>
      <c r="C359" s="91"/>
      <c r="D359" s="9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90"/>
      <c r="C360" s="91"/>
      <c r="D360" s="9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90"/>
      <c r="C361" s="91"/>
      <c r="D361" s="9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90"/>
      <c r="C362" s="91"/>
      <c r="D362" s="9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90"/>
      <c r="C363" s="91"/>
      <c r="D363" s="9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90"/>
      <c r="C364" s="91"/>
      <c r="D364" s="9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90"/>
      <c r="C365" s="91"/>
      <c r="D365" s="9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90"/>
      <c r="C366" s="91"/>
      <c r="D366" s="9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90"/>
      <c r="C367" s="91"/>
      <c r="D367" s="9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90"/>
      <c r="C368" s="91"/>
      <c r="D368" s="9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90"/>
      <c r="C369" s="91"/>
      <c r="D369" s="9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90"/>
      <c r="C370" s="91"/>
      <c r="D370" s="9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90"/>
      <c r="C371" s="91"/>
      <c r="D371" s="9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90"/>
      <c r="C372" s="91"/>
      <c r="D372" s="9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90"/>
      <c r="C373" s="91"/>
      <c r="D373" s="9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90"/>
      <c r="C374" s="91"/>
      <c r="D374" s="9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90"/>
      <c r="C375" s="91"/>
      <c r="D375" s="9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90"/>
      <c r="C376" s="91"/>
      <c r="D376" s="9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90"/>
      <c r="C377" s="91"/>
      <c r="D377" s="9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90"/>
      <c r="C378" s="91"/>
      <c r="D378" s="9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90"/>
      <c r="C379" s="91"/>
      <c r="D379" s="9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90"/>
      <c r="C380" s="91"/>
      <c r="D380" s="9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90"/>
      <c r="C381" s="91"/>
      <c r="D381" s="9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90"/>
      <c r="C382" s="91"/>
      <c r="D382" s="9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90"/>
      <c r="C383" s="91"/>
      <c r="D383" s="9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90"/>
      <c r="C384" s="91"/>
      <c r="D384" s="9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90"/>
      <c r="C385" s="91"/>
      <c r="D385" s="9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90"/>
      <c r="C386" s="91"/>
      <c r="D386" s="9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90"/>
      <c r="C387" s="91"/>
      <c r="D387" s="9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90"/>
      <c r="C388" s="91"/>
      <c r="D388" s="9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90"/>
      <c r="C389" s="91"/>
      <c r="D389" s="9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90"/>
      <c r="C390" s="91"/>
      <c r="D390" s="9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90"/>
      <c r="C391" s="91"/>
      <c r="D391" s="9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90"/>
      <c r="C392" s="91"/>
      <c r="D392" s="9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90"/>
      <c r="C393" s="91"/>
      <c r="D393" s="9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90"/>
      <c r="C394" s="91"/>
      <c r="D394" s="9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90"/>
      <c r="C395" s="91"/>
      <c r="D395" s="9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90"/>
      <c r="C396" s="91"/>
      <c r="D396" s="9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90"/>
      <c r="C397" s="91"/>
      <c r="D397" s="9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90"/>
      <c r="C398" s="91"/>
      <c r="D398" s="9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90"/>
      <c r="C399" s="91"/>
      <c r="D399" s="9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90"/>
      <c r="C400" s="91"/>
      <c r="D400" s="9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90"/>
      <c r="C401" s="91"/>
      <c r="D401" s="9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90"/>
      <c r="C402" s="91"/>
      <c r="D402" s="9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90"/>
      <c r="C403" s="91"/>
      <c r="D403" s="9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90"/>
      <c r="C404" s="91"/>
      <c r="D404" s="9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90"/>
      <c r="C405" s="91"/>
      <c r="D405" s="9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90"/>
      <c r="C406" s="91"/>
      <c r="D406" s="9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90"/>
      <c r="C407" s="91"/>
      <c r="D407" s="9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90"/>
      <c r="C408" s="91"/>
      <c r="D408" s="9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90"/>
      <c r="C409" s="91"/>
      <c r="D409" s="9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90"/>
      <c r="C410" s="91"/>
      <c r="D410" s="9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90"/>
      <c r="C411" s="91"/>
      <c r="D411" s="9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90"/>
      <c r="C412" s="91"/>
      <c r="D412" s="9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90"/>
      <c r="C413" s="91"/>
      <c r="D413" s="9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90"/>
      <c r="C414" s="91"/>
      <c r="D414" s="9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90"/>
      <c r="C415" s="91"/>
      <c r="D415" s="9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90"/>
      <c r="C416" s="91"/>
      <c r="D416" s="9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90"/>
      <c r="C417" s="91"/>
      <c r="D417" s="9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90"/>
      <c r="C418" s="91"/>
      <c r="D418" s="9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90"/>
      <c r="C419" s="91"/>
      <c r="D419" s="9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90"/>
      <c r="C420" s="91"/>
      <c r="D420" s="9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90"/>
      <c r="C421" s="91"/>
      <c r="D421" s="9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90"/>
      <c r="C422" s="91"/>
      <c r="D422" s="9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90"/>
      <c r="C423" s="91"/>
      <c r="D423" s="9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90"/>
      <c r="C424" s="91"/>
      <c r="D424" s="9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90"/>
      <c r="C425" s="91"/>
      <c r="D425" s="9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90"/>
      <c r="C426" s="91"/>
      <c r="D426" s="9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90"/>
      <c r="C427" s="91"/>
      <c r="D427" s="9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90"/>
      <c r="C428" s="91"/>
      <c r="D428" s="9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90"/>
      <c r="C429" s="91"/>
      <c r="D429" s="9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90"/>
      <c r="C430" s="91"/>
      <c r="D430" s="9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90"/>
      <c r="C431" s="91"/>
      <c r="D431" s="9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90"/>
      <c r="C432" s="91"/>
      <c r="D432" s="9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90"/>
      <c r="C433" s="91"/>
      <c r="D433" s="9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90"/>
      <c r="C434" s="91"/>
      <c r="D434" s="9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90"/>
      <c r="C435" s="91"/>
      <c r="D435" s="9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90"/>
      <c r="C436" s="91"/>
      <c r="D436" s="9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90"/>
      <c r="C437" s="91"/>
      <c r="D437" s="9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90"/>
      <c r="C438" s="91"/>
      <c r="D438" s="9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90"/>
      <c r="C439" s="91"/>
      <c r="D439" s="9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90"/>
      <c r="C440" s="91"/>
      <c r="D440" s="9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90"/>
      <c r="C441" s="91"/>
      <c r="D441" s="9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90"/>
      <c r="C442" s="91"/>
      <c r="D442" s="9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90"/>
      <c r="C443" s="91"/>
      <c r="D443" s="9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90"/>
      <c r="C444" s="91"/>
      <c r="D444" s="9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90"/>
      <c r="C445" s="91"/>
      <c r="D445" s="9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90"/>
      <c r="C446" s="91"/>
      <c r="D446" s="9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90"/>
      <c r="C447" s="91"/>
      <c r="D447" s="9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90"/>
      <c r="C448" s="91"/>
      <c r="D448" s="9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90"/>
      <c r="C449" s="91"/>
      <c r="D449" s="9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90"/>
      <c r="C450" s="91"/>
      <c r="D450" s="9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90"/>
      <c r="C451" s="91"/>
      <c r="D451" s="9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90"/>
      <c r="C452" s="91"/>
      <c r="D452" s="9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90"/>
      <c r="C453" s="91"/>
      <c r="D453" s="91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90"/>
      <c r="C454" s="91"/>
      <c r="D454" s="91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90"/>
      <c r="C455" s="91"/>
      <c r="D455" s="91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90"/>
      <c r="C456" s="91"/>
      <c r="D456" s="91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90"/>
      <c r="C457" s="91"/>
      <c r="D457" s="91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90"/>
      <c r="C458" s="91"/>
      <c r="D458" s="91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90"/>
      <c r="C459" s="91"/>
      <c r="D459" s="91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90"/>
      <c r="C460" s="91"/>
      <c r="D460" s="91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90"/>
      <c r="C461" s="91"/>
      <c r="D461" s="91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90"/>
      <c r="C462" s="91"/>
      <c r="D462" s="91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90"/>
      <c r="C463" s="91"/>
      <c r="D463" s="91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90"/>
      <c r="C464" s="91"/>
      <c r="D464" s="91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90"/>
      <c r="C465" s="91"/>
      <c r="D465" s="91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90"/>
      <c r="C466" s="91"/>
      <c r="D466" s="91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90"/>
      <c r="C467" s="91"/>
      <c r="D467" s="91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90"/>
      <c r="C468" s="91"/>
      <c r="D468" s="91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90"/>
      <c r="C469" s="91"/>
      <c r="D469" s="91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90"/>
      <c r="C470" s="91"/>
      <c r="D470" s="91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90"/>
      <c r="C471" s="91"/>
      <c r="D471" s="91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90"/>
      <c r="C472" s="91"/>
      <c r="D472" s="91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90"/>
      <c r="C473" s="91"/>
      <c r="D473" s="91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90"/>
      <c r="C474" s="91"/>
      <c r="D474" s="91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90"/>
      <c r="C475" s="91"/>
      <c r="D475" s="91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90"/>
      <c r="C476" s="91"/>
      <c r="D476" s="91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90"/>
      <c r="C477" s="91"/>
      <c r="D477" s="91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90"/>
      <c r="C478" s="91"/>
      <c r="D478" s="91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90"/>
      <c r="C479" s="91"/>
      <c r="D479" s="91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90"/>
      <c r="C480" s="91"/>
      <c r="D480" s="91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90"/>
      <c r="C481" s="91"/>
      <c r="D481" s="91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90"/>
      <c r="C482" s="91"/>
      <c r="D482" s="91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90"/>
      <c r="C483" s="91"/>
      <c r="D483" s="91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90"/>
      <c r="C484" s="91"/>
      <c r="D484" s="91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90"/>
      <c r="C485" s="91"/>
      <c r="D485" s="91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90"/>
      <c r="C486" s="91"/>
      <c r="D486" s="91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90"/>
      <c r="C487" s="91"/>
      <c r="D487" s="91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90"/>
      <c r="C488" s="91"/>
      <c r="D488" s="91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90"/>
      <c r="C489" s="91"/>
      <c r="D489" s="9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90"/>
      <c r="C490" s="91"/>
      <c r="D490" s="9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90"/>
      <c r="C491" s="91"/>
      <c r="D491" s="9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90"/>
      <c r="C492" s="91"/>
      <c r="D492" s="9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90"/>
      <c r="C493" s="91"/>
      <c r="D493" s="9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90"/>
      <c r="C494" s="91"/>
      <c r="D494" s="9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90"/>
      <c r="C495" s="91"/>
      <c r="D495" s="9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90"/>
      <c r="C496" s="91"/>
      <c r="D496" s="9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90"/>
      <c r="C497" s="91"/>
      <c r="D497" s="9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90"/>
      <c r="C498" s="91"/>
      <c r="D498" s="9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90"/>
      <c r="C499" s="91"/>
      <c r="D499" s="9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90"/>
      <c r="C500" s="91"/>
      <c r="D500" s="9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90"/>
      <c r="C501" s="91"/>
      <c r="D501" s="9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90"/>
      <c r="C502" s="91"/>
      <c r="D502" s="9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90"/>
      <c r="C503" s="91"/>
      <c r="D503" s="9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90"/>
      <c r="C504" s="91"/>
      <c r="D504" s="9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90"/>
      <c r="C505" s="91"/>
      <c r="D505" s="9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90"/>
      <c r="C506" s="91"/>
      <c r="D506" s="9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90"/>
      <c r="C507" s="91"/>
      <c r="D507" s="9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90"/>
      <c r="C508" s="91"/>
      <c r="D508" s="9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90"/>
      <c r="C509" s="91"/>
      <c r="D509" s="9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90"/>
      <c r="C510" s="91"/>
      <c r="D510" s="9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90"/>
      <c r="C511" s="91"/>
      <c r="D511" s="9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90"/>
      <c r="C512" s="91"/>
      <c r="D512" s="9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90"/>
      <c r="C513" s="91"/>
      <c r="D513" s="9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90"/>
      <c r="C514" s="91"/>
      <c r="D514" s="9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90"/>
      <c r="C515" s="91"/>
      <c r="D515" s="9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90"/>
      <c r="C516" s="91"/>
      <c r="D516" s="9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90"/>
      <c r="C517" s="91"/>
      <c r="D517" s="9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90"/>
      <c r="C518" s="91"/>
      <c r="D518" s="9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90"/>
      <c r="C519" s="91"/>
      <c r="D519" s="9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90"/>
      <c r="C520" s="91"/>
      <c r="D520" s="9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90"/>
      <c r="C521" s="91"/>
      <c r="D521" s="9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90"/>
      <c r="C522" s="91"/>
      <c r="D522" s="9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90"/>
      <c r="C523" s="91"/>
      <c r="D523" s="9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90"/>
      <c r="C524" s="91"/>
      <c r="D524" s="9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90"/>
      <c r="C525" s="91"/>
      <c r="D525" s="9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90"/>
      <c r="C526" s="91"/>
      <c r="D526" s="9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90"/>
      <c r="C527" s="91"/>
      <c r="D527" s="9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90"/>
      <c r="C528" s="91"/>
      <c r="D528" s="9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90"/>
      <c r="C529" s="91"/>
      <c r="D529" s="9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90"/>
      <c r="C530" s="91"/>
      <c r="D530" s="9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90"/>
      <c r="C531" s="91"/>
      <c r="D531" s="9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90"/>
      <c r="C532" s="91"/>
      <c r="D532" s="9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90"/>
      <c r="C533" s="91"/>
      <c r="D533" s="9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90"/>
      <c r="C534" s="91"/>
      <c r="D534" s="9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90"/>
      <c r="C535" s="91"/>
      <c r="D535" s="9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90"/>
      <c r="C536" s="91"/>
      <c r="D536" s="9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90"/>
      <c r="C537" s="91"/>
      <c r="D537" s="9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90"/>
      <c r="C538" s="91"/>
      <c r="D538" s="9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90"/>
      <c r="C539" s="91"/>
      <c r="D539" s="9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90"/>
      <c r="C540" s="91"/>
      <c r="D540" s="9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90"/>
      <c r="C541" s="91"/>
      <c r="D541" s="9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90"/>
      <c r="C542" s="91"/>
      <c r="D542" s="9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90"/>
      <c r="C543" s="91"/>
      <c r="D543" s="9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90"/>
      <c r="C544" s="91"/>
      <c r="D544" s="9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90"/>
      <c r="C545" s="91"/>
      <c r="D545" s="9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90"/>
      <c r="C546" s="91"/>
      <c r="D546" s="9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90"/>
      <c r="C547" s="91"/>
      <c r="D547" s="9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90"/>
      <c r="C548" s="91"/>
      <c r="D548" s="9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90"/>
      <c r="C549" s="91"/>
      <c r="D549" s="9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90"/>
      <c r="C550" s="91"/>
      <c r="D550" s="9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90"/>
      <c r="C551" s="91"/>
      <c r="D551" s="9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90"/>
      <c r="C552" s="91"/>
      <c r="D552" s="9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90"/>
      <c r="C553" s="91"/>
      <c r="D553" s="9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90"/>
      <c r="C554" s="91"/>
      <c r="D554" s="9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90"/>
      <c r="C555" s="91"/>
      <c r="D555" s="9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90"/>
      <c r="C556" s="91"/>
      <c r="D556" s="9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90"/>
      <c r="C557" s="91"/>
      <c r="D557" s="9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90"/>
      <c r="C558" s="91"/>
      <c r="D558" s="9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90"/>
      <c r="C559" s="91"/>
      <c r="D559" s="9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90"/>
      <c r="C560" s="91"/>
      <c r="D560" s="9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90"/>
      <c r="C561" s="91"/>
      <c r="D561" s="9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90"/>
      <c r="C562" s="91"/>
      <c r="D562" s="9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90"/>
      <c r="C563" s="91"/>
      <c r="D563" s="9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90"/>
      <c r="C564" s="91"/>
      <c r="D564" s="9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90"/>
      <c r="C565" s="91"/>
      <c r="D565" s="9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90"/>
      <c r="C566" s="91"/>
      <c r="D566" s="9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90"/>
      <c r="C567" s="91"/>
      <c r="D567" s="9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90"/>
      <c r="C568" s="91"/>
      <c r="D568" s="9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90"/>
      <c r="C569" s="91"/>
      <c r="D569" s="9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90"/>
      <c r="C570" s="91"/>
      <c r="D570" s="9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90"/>
      <c r="C571" s="91"/>
      <c r="D571" s="9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90"/>
      <c r="C572" s="91"/>
      <c r="D572" s="9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90"/>
      <c r="C573" s="91"/>
      <c r="D573" s="9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90"/>
      <c r="C574" s="91"/>
      <c r="D574" s="9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90"/>
      <c r="C575" s="91"/>
      <c r="D575" s="9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90"/>
      <c r="C576" s="91"/>
      <c r="D576" s="9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90"/>
      <c r="C577" s="91"/>
      <c r="D577" s="9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90"/>
      <c r="C578" s="91"/>
      <c r="D578" s="9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90"/>
      <c r="C579" s="91"/>
      <c r="D579" s="9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90"/>
      <c r="C580" s="91"/>
      <c r="D580" s="9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90"/>
      <c r="C581" s="91"/>
      <c r="D581" s="9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90"/>
      <c r="C582" s="91"/>
      <c r="D582" s="9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90"/>
      <c r="C583" s="91"/>
      <c r="D583" s="9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90"/>
      <c r="C584" s="91"/>
      <c r="D584" s="9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90"/>
      <c r="C585" s="91"/>
      <c r="D585" s="9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90"/>
      <c r="C586" s="91"/>
      <c r="D586" s="9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90"/>
      <c r="C587" s="91"/>
      <c r="D587" s="9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90"/>
      <c r="C588" s="91"/>
      <c r="D588" s="9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90"/>
      <c r="C589" s="91"/>
      <c r="D589" s="9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90"/>
      <c r="C590" s="91"/>
      <c r="D590" s="9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90"/>
      <c r="C591" s="91"/>
      <c r="D591" s="9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90"/>
      <c r="C592" s="91"/>
      <c r="D592" s="9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90"/>
      <c r="C593" s="91"/>
      <c r="D593" s="9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90"/>
      <c r="C594" s="91"/>
      <c r="D594" s="9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90"/>
      <c r="C595" s="91"/>
      <c r="D595" s="9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90"/>
      <c r="C596" s="91"/>
      <c r="D596" s="9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90"/>
      <c r="C597" s="91"/>
      <c r="D597" s="9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90"/>
      <c r="C598" s="91"/>
      <c r="D598" s="9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90"/>
      <c r="C599" s="91"/>
      <c r="D599" s="9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90"/>
      <c r="C600" s="91"/>
      <c r="D600" s="9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90"/>
      <c r="C601" s="91"/>
      <c r="D601" s="9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90"/>
      <c r="C602" s="91"/>
      <c r="D602" s="9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90"/>
      <c r="C603" s="91"/>
      <c r="D603" s="9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90"/>
      <c r="C604" s="91"/>
      <c r="D604" s="9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90"/>
      <c r="C605" s="91"/>
      <c r="D605" s="9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90"/>
      <c r="C606" s="91"/>
      <c r="D606" s="9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90"/>
      <c r="C607" s="91"/>
      <c r="D607" s="9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90"/>
      <c r="C608" s="91"/>
      <c r="D608" s="9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90"/>
      <c r="C609" s="91"/>
      <c r="D609" s="9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90"/>
      <c r="C610" s="91"/>
      <c r="D610" s="9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90"/>
      <c r="C611" s="91"/>
      <c r="D611" s="9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90"/>
      <c r="C612" s="91"/>
      <c r="D612" s="9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90"/>
      <c r="C613" s="91"/>
      <c r="D613" s="9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90"/>
      <c r="C614" s="91"/>
      <c r="D614" s="9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90"/>
      <c r="C615" s="91"/>
      <c r="D615" s="9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90"/>
      <c r="C616" s="91"/>
      <c r="D616" s="9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90"/>
      <c r="C617" s="91"/>
      <c r="D617" s="9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90"/>
      <c r="C618" s="91"/>
      <c r="D618" s="9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90"/>
      <c r="C619" s="91"/>
      <c r="D619" s="9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90"/>
      <c r="C620" s="91"/>
      <c r="D620" s="9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90"/>
      <c r="C621" s="91"/>
      <c r="D621" s="9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90"/>
      <c r="C622" s="91"/>
      <c r="D622" s="9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90"/>
      <c r="C623" s="91"/>
      <c r="D623" s="9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90"/>
      <c r="C624" s="91"/>
      <c r="D624" s="9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90"/>
      <c r="C625" s="91"/>
      <c r="D625" s="9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90"/>
      <c r="C626" s="91"/>
      <c r="D626" s="9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90"/>
      <c r="C627" s="91"/>
      <c r="D627" s="9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90"/>
      <c r="C628" s="91"/>
      <c r="D628" s="9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90"/>
      <c r="C629" s="91"/>
      <c r="D629" s="9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90"/>
      <c r="C630" s="91"/>
      <c r="D630" s="9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90"/>
      <c r="C631" s="91"/>
      <c r="D631" s="9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90"/>
      <c r="C632" s="91"/>
      <c r="D632" s="9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90"/>
      <c r="C633" s="91"/>
      <c r="D633" s="9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90"/>
      <c r="C634" s="91"/>
      <c r="D634" s="9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90"/>
      <c r="C635" s="91"/>
      <c r="D635" s="9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90"/>
      <c r="C636" s="91"/>
      <c r="D636" s="9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90"/>
      <c r="C637" s="91"/>
      <c r="D637" s="9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90"/>
      <c r="C638" s="91"/>
      <c r="D638" s="9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90"/>
      <c r="C639" s="91"/>
      <c r="D639" s="9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90"/>
      <c r="C640" s="91"/>
      <c r="D640" s="9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90"/>
      <c r="C641" s="91"/>
      <c r="D641" s="9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90"/>
      <c r="C642" s="91"/>
      <c r="D642" s="9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90"/>
      <c r="C643" s="91"/>
      <c r="D643" s="9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90"/>
      <c r="C644" s="91"/>
      <c r="D644" s="9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90"/>
      <c r="C645" s="91"/>
      <c r="D645" s="9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90"/>
      <c r="C646" s="91"/>
      <c r="D646" s="9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90"/>
      <c r="C647" s="91"/>
      <c r="D647" s="9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90"/>
      <c r="C648" s="91"/>
      <c r="D648" s="9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90"/>
      <c r="C649" s="91"/>
      <c r="D649" s="9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90"/>
      <c r="C650" s="91"/>
      <c r="D650" s="9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90"/>
      <c r="C651" s="91"/>
      <c r="D651" s="9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90"/>
      <c r="C652" s="91"/>
      <c r="D652" s="9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90"/>
      <c r="C653" s="91"/>
      <c r="D653" s="9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90"/>
      <c r="C654" s="91"/>
      <c r="D654" s="9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90"/>
      <c r="C655" s="91"/>
      <c r="D655" s="9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90"/>
      <c r="C656" s="91"/>
      <c r="D656" s="9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90"/>
      <c r="C657" s="91"/>
      <c r="D657" s="9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90"/>
      <c r="C658" s="91"/>
      <c r="D658" s="9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90"/>
      <c r="C659" s="91"/>
      <c r="D659" s="9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90"/>
      <c r="C660" s="91"/>
      <c r="D660" s="9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90"/>
      <c r="C661" s="91"/>
      <c r="D661" s="9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90"/>
      <c r="C662" s="91"/>
      <c r="D662" s="9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90"/>
      <c r="C663" s="91"/>
      <c r="D663" s="9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90"/>
      <c r="C664" s="91"/>
      <c r="D664" s="9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90"/>
      <c r="C665" s="91"/>
      <c r="D665" s="9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90"/>
      <c r="C666" s="91"/>
      <c r="D666" s="9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90"/>
      <c r="C667" s="91"/>
      <c r="D667" s="9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90"/>
      <c r="C668" s="91"/>
      <c r="D668" s="9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90"/>
      <c r="C669" s="91"/>
      <c r="D669" s="9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90"/>
      <c r="C670" s="91"/>
      <c r="D670" s="9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90"/>
      <c r="C671" s="91"/>
      <c r="D671" s="9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90"/>
      <c r="C672" s="91"/>
      <c r="D672" s="9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90"/>
      <c r="C673" s="91"/>
      <c r="D673" s="9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90"/>
      <c r="C674" s="91"/>
      <c r="D674" s="9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90"/>
      <c r="C675" s="91"/>
      <c r="D675" s="9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90"/>
      <c r="C676" s="91"/>
      <c r="D676" s="9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90"/>
      <c r="C677" s="91"/>
      <c r="D677" s="9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90"/>
      <c r="C678" s="91"/>
      <c r="D678" s="9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90"/>
      <c r="C679" s="91"/>
      <c r="D679" s="9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90"/>
      <c r="C680" s="91"/>
      <c r="D680" s="9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90"/>
      <c r="C681" s="91"/>
      <c r="D681" s="9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90"/>
      <c r="C682" s="91"/>
      <c r="D682" s="9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90"/>
      <c r="C683" s="91"/>
      <c r="D683" s="9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90"/>
      <c r="C684" s="91"/>
      <c r="D684" s="9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90"/>
      <c r="C685" s="91"/>
      <c r="D685" s="9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90"/>
      <c r="C686" s="91"/>
      <c r="D686" s="9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90"/>
      <c r="C687" s="91"/>
      <c r="D687" s="9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90"/>
      <c r="C688" s="91"/>
      <c r="D688" s="9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90"/>
      <c r="C689" s="91"/>
      <c r="D689" s="9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90"/>
      <c r="C690" s="91"/>
      <c r="D690" s="9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90"/>
      <c r="C691" s="91"/>
      <c r="D691" s="9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90"/>
      <c r="C692" s="91"/>
      <c r="D692" s="9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90"/>
      <c r="C693" s="91"/>
      <c r="D693" s="9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90"/>
      <c r="C694" s="91"/>
      <c r="D694" s="9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90"/>
      <c r="C695" s="91"/>
      <c r="D695" s="9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90"/>
      <c r="C696" s="91"/>
      <c r="D696" s="9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90"/>
      <c r="C697" s="91"/>
      <c r="D697" s="9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90"/>
      <c r="C698" s="91"/>
      <c r="D698" s="9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90"/>
      <c r="C699" s="91"/>
      <c r="D699" s="9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90"/>
      <c r="C700" s="91"/>
      <c r="D700" s="9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90"/>
      <c r="C701" s="91"/>
      <c r="D701" s="9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90"/>
      <c r="C702" s="91"/>
      <c r="D702" s="9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90"/>
      <c r="C703" s="91"/>
      <c r="D703" s="9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90"/>
      <c r="C704" s="91"/>
      <c r="D704" s="9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90"/>
      <c r="C705" s="91"/>
      <c r="D705" s="9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90"/>
      <c r="C706" s="91"/>
      <c r="D706" s="9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90"/>
      <c r="C707" s="91"/>
      <c r="D707" s="9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90"/>
      <c r="C708" s="91"/>
      <c r="D708" s="9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90"/>
      <c r="C709" s="91"/>
      <c r="D709" s="9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90"/>
      <c r="C710" s="91"/>
      <c r="D710" s="9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90"/>
      <c r="C711" s="91"/>
      <c r="D711" s="9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90"/>
      <c r="C712" s="91"/>
      <c r="D712" s="9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90"/>
      <c r="C713" s="91"/>
      <c r="D713" s="9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90"/>
      <c r="C714" s="91"/>
      <c r="D714" s="9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90"/>
      <c r="C715" s="91"/>
      <c r="D715" s="9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90"/>
      <c r="C716" s="91"/>
      <c r="D716" s="9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90"/>
      <c r="C717" s="91"/>
      <c r="D717" s="9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90"/>
      <c r="C718" s="91"/>
      <c r="D718" s="9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90"/>
      <c r="C719" s="91"/>
      <c r="D719" s="9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90"/>
      <c r="C720" s="91"/>
      <c r="D720" s="9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90"/>
      <c r="C721" s="91"/>
      <c r="D721" s="9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90"/>
      <c r="C722" s="91"/>
      <c r="D722" s="9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90"/>
      <c r="C723" s="91"/>
      <c r="D723" s="9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90"/>
      <c r="C724" s="91"/>
      <c r="D724" s="9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90"/>
      <c r="C725" s="91"/>
      <c r="D725" s="9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90"/>
      <c r="C726" s="91"/>
      <c r="D726" s="9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90"/>
      <c r="C727" s="91"/>
      <c r="D727" s="9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90"/>
      <c r="C728" s="91"/>
      <c r="D728" s="9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90"/>
      <c r="C729" s="91"/>
      <c r="D729" s="9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90"/>
      <c r="C730" s="91"/>
      <c r="D730" s="9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90"/>
      <c r="C731" s="91"/>
      <c r="D731" s="9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90"/>
      <c r="C732" s="91"/>
      <c r="D732" s="9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90"/>
      <c r="C733" s="91"/>
      <c r="D733" s="9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90"/>
      <c r="C734" s="91"/>
      <c r="D734" s="9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90"/>
      <c r="C735" s="91"/>
      <c r="D735" s="9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90"/>
      <c r="C736" s="91"/>
      <c r="D736" s="9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90"/>
      <c r="C737" s="91"/>
      <c r="D737" s="9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90"/>
      <c r="C738" s="91"/>
      <c r="D738" s="9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90"/>
      <c r="C739" s="91"/>
      <c r="D739" s="9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90"/>
      <c r="C740" s="91"/>
      <c r="D740" s="9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90"/>
      <c r="C741" s="91"/>
      <c r="D741" s="9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90"/>
      <c r="C742" s="91"/>
      <c r="D742" s="9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90"/>
      <c r="C743" s="91"/>
      <c r="D743" s="9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90"/>
      <c r="C744" s="91"/>
      <c r="D744" s="9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90"/>
      <c r="C745" s="91"/>
      <c r="D745" s="9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90"/>
      <c r="C746" s="91"/>
      <c r="D746" s="9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90"/>
      <c r="C747" s="91"/>
      <c r="D747" s="9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90"/>
      <c r="C748" s="91"/>
      <c r="D748" s="9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90"/>
      <c r="C749" s="91"/>
      <c r="D749" s="9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90"/>
      <c r="C750" s="91"/>
      <c r="D750" s="9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90"/>
      <c r="C751" s="91"/>
      <c r="D751" s="9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90"/>
      <c r="C752" s="91"/>
      <c r="D752" s="9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90"/>
      <c r="C753" s="91"/>
      <c r="D753" s="9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90"/>
      <c r="C754" s="91"/>
      <c r="D754" s="9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90"/>
      <c r="C755" s="91"/>
      <c r="D755" s="9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90"/>
      <c r="C756" s="91"/>
      <c r="D756" s="9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90"/>
      <c r="C757" s="91"/>
      <c r="D757" s="9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90"/>
      <c r="C758" s="91"/>
      <c r="D758" s="9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90"/>
      <c r="C759" s="91"/>
      <c r="D759" s="9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90"/>
      <c r="C760" s="91"/>
      <c r="D760" s="9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90"/>
      <c r="C761" s="91"/>
      <c r="D761" s="9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90"/>
      <c r="C762" s="91"/>
      <c r="D762" s="9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90"/>
      <c r="C763" s="91"/>
      <c r="D763" s="9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90"/>
      <c r="C764" s="91"/>
      <c r="D764" s="9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90"/>
      <c r="C765" s="91"/>
      <c r="D765" s="9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90"/>
      <c r="C766" s="91"/>
      <c r="D766" s="9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90"/>
      <c r="C767" s="91"/>
      <c r="D767" s="9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90"/>
      <c r="C768" s="91"/>
      <c r="D768" s="9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90"/>
      <c r="C769" s="91"/>
      <c r="D769" s="9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90"/>
      <c r="C770" s="91"/>
      <c r="D770" s="9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90"/>
      <c r="C771" s="91"/>
      <c r="D771" s="9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90"/>
      <c r="C772" s="91"/>
      <c r="D772" s="9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90"/>
      <c r="C773" s="91"/>
      <c r="D773" s="9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90"/>
      <c r="C774" s="91"/>
      <c r="D774" s="9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90"/>
      <c r="C775" s="91"/>
      <c r="D775" s="9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90"/>
      <c r="C776" s="91"/>
      <c r="D776" s="9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90"/>
      <c r="C777" s="91"/>
      <c r="D777" s="9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90"/>
      <c r="C778" s="91"/>
      <c r="D778" s="9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90"/>
      <c r="C779" s="91"/>
      <c r="D779" s="9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90"/>
      <c r="C780" s="91"/>
      <c r="D780" s="9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90"/>
      <c r="C781" s="91"/>
      <c r="D781" s="9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90"/>
      <c r="C782" s="91"/>
      <c r="D782" s="9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90"/>
      <c r="C783" s="91"/>
      <c r="D783" s="9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90"/>
      <c r="C784" s="91"/>
      <c r="D784" s="9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90"/>
      <c r="C785" s="91"/>
      <c r="D785" s="9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90"/>
      <c r="C786" s="91"/>
      <c r="D786" s="9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90"/>
      <c r="C787" s="91"/>
      <c r="D787" s="9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90"/>
      <c r="C788" s="91"/>
      <c r="D788" s="9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90"/>
      <c r="C789" s="91"/>
      <c r="D789" s="9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90"/>
      <c r="C790" s="91"/>
      <c r="D790" s="9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90"/>
      <c r="C791" s="91"/>
      <c r="D791" s="9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90"/>
      <c r="C792" s="91"/>
      <c r="D792" s="9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90"/>
      <c r="C793" s="91"/>
      <c r="D793" s="9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90"/>
      <c r="C794" s="91"/>
      <c r="D794" s="9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90"/>
      <c r="C795" s="91"/>
      <c r="D795" s="9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90"/>
      <c r="C796" s="91"/>
      <c r="D796" s="9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90"/>
      <c r="C797" s="91"/>
      <c r="D797" s="9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90"/>
      <c r="C798" s="91"/>
      <c r="D798" s="9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90"/>
      <c r="C799" s="91"/>
      <c r="D799" s="9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90"/>
      <c r="C800" s="91"/>
      <c r="D800" s="9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90"/>
      <c r="C801" s="91"/>
      <c r="D801" s="9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90"/>
      <c r="C802" s="91"/>
      <c r="D802" s="9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90"/>
      <c r="C803" s="91"/>
      <c r="D803" s="9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90"/>
      <c r="C804" s="91"/>
      <c r="D804" s="9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90"/>
      <c r="C805" s="91"/>
      <c r="D805" s="9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90"/>
      <c r="C806" s="91"/>
      <c r="D806" s="9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90"/>
      <c r="C807" s="91"/>
      <c r="D807" s="9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90"/>
      <c r="C808" s="91"/>
      <c r="D808" s="9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90"/>
      <c r="C809" s="91"/>
      <c r="D809" s="9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90"/>
      <c r="C810" s="91"/>
      <c r="D810" s="9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90"/>
      <c r="C811" s="91"/>
      <c r="D811" s="9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90"/>
      <c r="C812" s="91"/>
      <c r="D812" s="9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90"/>
      <c r="C813" s="91"/>
      <c r="D813" s="9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90"/>
      <c r="C814" s="91"/>
      <c r="D814" s="9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90"/>
      <c r="C815" s="91"/>
      <c r="D815" s="9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90"/>
      <c r="C816" s="91"/>
      <c r="D816" s="9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90"/>
      <c r="C817" s="91"/>
      <c r="D817" s="9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90"/>
      <c r="C818" s="91"/>
      <c r="D818" s="9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90"/>
      <c r="C819" s="91"/>
      <c r="D819" s="9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90"/>
      <c r="C820" s="91"/>
      <c r="D820" s="9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90"/>
      <c r="C821" s="91"/>
      <c r="D821" s="9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90"/>
      <c r="C822" s="91"/>
      <c r="D822" s="9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90"/>
      <c r="C823" s="91"/>
      <c r="D823" s="9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90"/>
      <c r="C824" s="91"/>
      <c r="D824" s="9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90"/>
      <c r="C825" s="91"/>
      <c r="D825" s="9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90"/>
      <c r="C826" s="91"/>
      <c r="D826" s="9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90"/>
      <c r="C827" s="91"/>
      <c r="D827" s="9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90"/>
      <c r="C828" s="91"/>
      <c r="D828" s="9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90"/>
      <c r="C829" s="91"/>
      <c r="D829" s="9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90"/>
      <c r="C830" s="91"/>
      <c r="D830" s="9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90"/>
      <c r="C831" s="91"/>
      <c r="D831" s="9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90"/>
      <c r="C832" s="91"/>
      <c r="D832" s="9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90"/>
      <c r="C833" s="91"/>
      <c r="D833" s="9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90"/>
      <c r="C834" s="91"/>
      <c r="D834" s="9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90"/>
      <c r="C835" s="91"/>
      <c r="D835" s="9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90"/>
      <c r="C836" s="91"/>
      <c r="D836" s="9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90"/>
      <c r="C837" s="91"/>
      <c r="D837" s="9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90"/>
      <c r="C838" s="91"/>
      <c r="D838" s="9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90"/>
      <c r="C839" s="91"/>
      <c r="D839" s="9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90"/>
      <c r="C840" s="91"/>
      <c r="D840" s="9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90"/>
      <c r="C841" s="91"/>
      <c r="D841" s="9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90"/>
      <c r="C842" s="91"/>
      <c r="D842" s="9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90"/>
      <c r="C843" s="91"/>
      <c r="D843" s="9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90"/>
      <c r="C844" s="91"/>
      <c r="D844" s="9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90"/>
      <c r="C845" s="91"/>
      <c r="D845" s="9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90"/>
      <c r="C846" s="91"/>
      <c r="D846" s="9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90"/>
      <c r="C847" s="91"/>
      <c r="D847" s="9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90"/>
      <c r="C848" s="91"/>
      <c r="D848" s="9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90"/>
      <c r="C849" s="91"/>
      <c r="D849" s="9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90"/>
      <c r="C850" s="91"/>
      <c r="D850" s="9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90"/>
      <c r="C851" s="91"/>
      <c r="D851" s="9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90"/>
      <c r="C852" s="91"/>
      <c r="D852" s="9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90"/>
      <c r="C853" s="91"/>
      <c r="D853" s="9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90"/>
      <c r="C854" s="91"/>
      <c r="D854" s="9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90"/>
      <c r="C855" s="91"/>
      <c r="D855" s="9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90"/>
      <c r="C856" s="91"/>
      <c r="D856" s="9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90"/>
      <c r="C857" s="91"/>
      <c r="D857" s="9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90"/>
      <c r="C858" s="91"/>
      <c r="D858" s="9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90"/>
      <c r="C859" s="91"/>
      <c r="D859" s="9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90"/>
      <c r="C860" s="91"/>
      <c r="D860" s="9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90"/>
      <c r="C861" s="91"/>
      <c r="D861" s="9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90"/>
      <c r="C862" s="91"/>
      <c r="D862" s="9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90"/>
      <c r="C863" s="91"/>
      <c r="D863" s="9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90"/>
      <c r="C864" s="91"/>
      <c r="D864" s="9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90"/>
      <c r="C865" s="91"/>
      <c r="D865" s="9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90"/>
      <c r="C866" s="91"/>
      <c r="D866" s="9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90"/>
      <c r="C867" s="91"/>
      <c r="D867" s="9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90"/>
      <c r="C868" s="91"/>
      <c r="D868" s="9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90"/>
      <c r="C869" s="91"/>
      <c r="D869" s="9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90"/>
      <c r="C870" s="91"/>
      <c r="D870" s="9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90"/>
      <c r="C871" s="91"/>
      <c r="D871" s="9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90"/>
      <c r="C872" s="91"/>
      <c r="D872" s="9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90"/>
      <c r="C873" s="91"/>
      <c r="D873" s="9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90"/>
      <c r="C874" s="91"/>
      <c r="D874" s="9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90"/>
      <c r="C875" s="91"/>
      <c r="D875" s="9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90"/>
      <c r="C876" s="91"/>
      <c r="D876" s="9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90"/>
      <c r="C877" s="91"/>
      <c r="D877" s="9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90"/>
      <c r="C878" s="91"/>
      <c r="D878" s="9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90"/>
      <c r="C879" s="91"/>
      <c r="D879" s="9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90"/>
      <c r="C880" s="91"/>
      <c r="D880" s="9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90"/>
      <c r="C881" s="91"/>
      <c r="D881" s="9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90"/>
      <c r="C882" s="91"/>
      <c r="D882" s="9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90"/>
      <c r="C883" s="91"/>
      <c r="D883" s="9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90"/>
      <c r="C884" s="91"/>
      <c r="D884" s="9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90"/>
      <c r="C885" s="91"/>
      <c r="D885" s="9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90"/>
      <c r="C886" s="91"/>
      <c r="D886" s="9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90"/>
      <c r="C887" s="91"/>
      <c r="D887" s="9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90"/>
      <c r="C888" s="91"/>
      <c r="D888" s="9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90"/>
      <c r="C889" s="91"/>
      <c r="D889" s="9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90"/>
      <c r="C890" s="91"/>
      <c r="D890" s="9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90"/>
      <c r="C891" s="91"/>
      <c r="D891" s="9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90"/>
      <c r="C892" s="91"/>
      <c r="D892" s="9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90"/>
      <c r="C893" s="91"/>
      <c r="D893" s="9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90"/>
      <c r="C894" s="91"/>
      <c r="D894" s="9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90"/>
      <c r="C895" s="91"/>
      <c r="D895" s="9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90"/>
      <c r="C896" s="91"/>
      <c r="D896" s="9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90"/>
      <c r="C897" s="91"/>
      <c r="D897" s="9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90"/>
      <c r="C898" s="91"/>
      <c r="D898" s="9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90"/>
      <c r="C899" s="91"/>
      <c r="D899" s="9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90"/>
      <c r="C900" s="91"/>
      <c r="D900" s="9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90"/>
      <c r="C901" s="91"/>
      <c r="D901" s="9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90"/>
      <c r="C902" s="91"/>
      <c r="D902" s="9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90"/>
      <c r="C903" s="91"/>
      <c r="D903" s="9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90"/>
      <c r="C904" s="91"/>
      <c r="D904" s="9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90"/>
      <c r="C905" s="91"/>
      <c r="D905" s="91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90"/>
      <c r="C906" s="91"/>
      <c r="D906" s="91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90"/>
      <c r="C907" s="91"/>
      <c r="D907" s="91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90"/>
      <c r="C908" s="91"/>
      <c r="D908" s="91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90"/>
      <c r="C909" s="91"/>
      <c r="D909" s="91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90"/>
      <c r="C910" s="91"/>
      <c r="D910" s="91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90"/>
      <c r="C911" s="91"/>
      <c r="D911" s="91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90"/>
      <c r="C912" s="91"/>
      <c r="D912" s="91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90"/>
      <c r="C913" s="91"/>
      <c r="D913" s="91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90"/>
      <c r="C914" s="91"/>
      <c r="D914" s="91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90"/>
      <c r="C915" s="91"/>
      <c r="D915" s="91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90"/>
      <c r="C916" s="91"/>
      <c r="D916" s="91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90"/>
      <c r="C917" s="91"/>
      <c r="D917" s="91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90"/>
      <c r="C918" s="91"/>
      <c r="D918" s="91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90"/>
      <c r="C919" s="91"/>
      <c r="D919" s="91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90"/>
      <c r="C920" s="91"/>
      <c r="D920" s="91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90"/>
      <c r="C921" s="91"/>
      <c r="D921" s="91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90"/>
      <c r="C922" s="91"/>
      <c r="D922" s="91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90"/>
      <c r="C923" s="91"/>
      <c r="D923" s="91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90"/>
      <c r="C924" s="91"/>
      <c r="D924" s="91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90"/>
      <c r="C925" s="91"/>
      <c r="D925" s="91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90"/>
      <c r="C926" s="91"/>
      <c r="D926" s="91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90"/>
      <c r="C927" s="91"/>
      <c r="D927" s="91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90"/>
      <c r="C928" s="91"/>
      <c r="D928" s="91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90"/>
      <c r="C929" s="91"/>
      <c r="D929" s="91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90"/>
      <c r="C930" s="91"/>
      <c r="D930" s="91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90"/>
      <c r="C931" s="91"/>
      <c r="D931" s="91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90"/>
      <c r="C932" s="91"/>
      <c r="D932" s="91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90"/>
      <c r="C933" s="91"/>
      <c r="D933" s="91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90"/>
      <c r="C934" s="91"/>
      <c r="D934" s="91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90"/>
      <c r="C935" s="91"/>
      <c r="D935" s="91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90"/>
      <c r="C936" s="91"/>
      <c r="D936" s="91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90"/>
      <c r="C937" s="91"/>
      <c r="D937" s="91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90"/>
      <c r="C938" s="91"/>
      <c r="D938" s="91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90"/>
      <c r="C939" s="91"/>
      <c r="D939" s="91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90"/>
      <c r="C940" s="91"/>
      <c r="D940" s="91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90"/>
      <c r="C941" s="91"/>
      <c r="D941" s="9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90"/>
      <c r="C942" s="91"/>
      <c r="D942" s="9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90"/>
      <c r="C943" s="91"/>
      <c r="D943" s="9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90"/>
      <c r="C944" s="91"/>
      <c r="D944" s="9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90"/>
      <c r="C945" s="91"/>
      <c r="D945" s="9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90"/>
      <c r="C946" s="91"/>
      <c r="D946" s="9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90"/>
      <c r="C947" s="91"/>
      <c r="D947" s="9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90"/>
      <c r="C948" s="91"/>
      <c r="D948" s="9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90"/>
      <c r="C949" s="91"/>
      <c r="D949" s="9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90"/>
      <c r="C950" s="91"/>
      <c r="D950" s="9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90"/>
      <c r="C951" s="91"/>
      <c r="D951" s="9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90"/>
      <c r="C952" s="91"/>
      <c r="D952" s="9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90"/>
      <c r="C953" s="91"/>
      <c r="D953" s="9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90"/>
      <c r="C954" s="91"/>
      <c r="D954" s="9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90"/>
      <c r="C955" s="91"/>
      <c r="D955" s="9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90"/>
      <c r="C956" s="91"/>
      <c r="D956" s="9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90"/>
      <c r="C957" s="91"/>
      <c r="D957" s="9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90"/>
      <c r="C958" s="91"/>
      <c r="D958" s="9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90"/>
      <c r="C959" s="91"/>
      <c r="D959" s="9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90"/>
      <c r="C960" s="91"/>
      <c r="D960" s="9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90"/>
      <c r="C961" s="91"/>
      <c r="D961" s="9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90"/>
      <c r="C962" s="91"/>
      <c r="D962" s="9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90"/>
      <c r="C963" s="91"/>
      <c r="D963" s="9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90"/>
      <c r="C964" s="91"/>
      <c r="D964" s="9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90"/>
      <c r="C965" s="91"/>
      <c r="D965" s="9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90"/>
      <c r="C966" s="91"/>
      <c r="D966" s="9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90"/>
      <c r="C967" s="91"/>
      <c r="D967" s="9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90"/>
      <c r="C968" s="91"/>
      <c r="D968" s="9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90"/>
      <c r="C969" s="91"/>
      <c r="D969" s="9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90"/>
      <c r="C970" s="91"/>
      <c r="D970" s="9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90"/>
      <c r="C971" s="91"/>
      <c r="D971" s="9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90"/>
      <c r="C972" s="91"/>
      <c r="D972" s="9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90"/>
      <c r="C973" s="91"/>
      <c r="D973" s="9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90"/>
      <c r="C974" s="91"/>
      <c r="D974" s="9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90"/>
      <c r="C975" s="91"/>
      <c r="D975" s="9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90"/>
      <c r="C976" s="91"/>
      <c r="D976" s="9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90"/>
      <c r="C977" s="91"/>
      <c r="D977" s="9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90"/>
      <c r="C978" s="91"/>
      <c r="D978" s="9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90"/>
      <c r="C979" s="91"/>
      <c r="D979" s="9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90"/>
      <c r="C980" s="91"/>
      <c r="D980" s="9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90"/>
      <c r="C981" s="91"/>
      <c r="D981" s="9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90"/>
      <c r="C982" s="91"/>
      <c r="D982" s="9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90"/>
      <c r="C983" s="91"/>
      <c r="D983" s="9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90"/>
      <c r="C984" s="91"/>
      <c r="D984" s="9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90"/>
      <c r="C985" s="91"/>
      <c r="D985" s="9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90"/>
      <c r="C986" s="91"/>
      <c r="D986" s="9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90"/>
      <c r="C987" s="91"/>
      <c r="D987" s="9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90"/>
      <c r="C988" s="91"/>
      <c r="D988" s="9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90"/>
      <c r="C989" s="91"/>
      <c r="D989" s="9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90"/>
      <c r="C990" s="91"/>
      <c r="D990" s="91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90"/>
      <c r="C991" s="91"/>
      <c r="D991" s="91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90"/>
      <c r="C992" s="91"/>
      <c r="D992" s="91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90"/>
      <c r="C993" s="91"/>
      <c r="D993" s="91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90"/>
      <c r="C994" s="91"/>
      <c r="D994" s="91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90"/>
      <c r="C995" s="91"/>
      <c r="D995" s="91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90"/>
      <c r="C996" s="91"/>
      <c r="D996" s="91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90"/>
      <c r="C997" s="91"/>
      <c r="D997" s="91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90"/>
      <c r="C998" s="91"/>
      <c r="D998" s="91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90"/>
      <c r="C999" s="91"/>
      <c r="D999" s="91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90"/>
      <c r="C1000" s="91"/>
      <c r="D1000" s="91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8.75" customHeight="1">
      <c r="A1001" s="5"/>
      <c r="B1001" s="90"/>
      <c r="C1001" s="91"/>
      <c r="D1001" s="91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8.75" customHeight="1">
      <c r="A1002" s="5"/>
      <c r="B1002" s="90"/>
      <c r="C1002" s="91"/>
      <c r="D1002" s="91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8.75" customHeight="1">
      <c r="A1003" s="5"/>
      <c r="B1003" s="90"/>
      <c r="C1003" s="91"/>
      <c r="D1003" s="91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8.75" customHeight="1">
      <c r="A1004" s="5"/>
      <c r="B1004" s="90"/>
      <c r="C1004" s="91"/>
      <c r="D1004" s="91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8.75" customHeight="1">
      <c r="A1005" s="5"/>
      <c r="B1005" s="90"/>
      <c r="C1005" s="91"/>
      <c r="D1005" s="91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8.75" customHeight="1">
      <c r="A1006" s="5"/>
      <c r="B1006" s="90"/>
      <c r="C1006" s="91"/>
      <c r="D1006" s="91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8.75" customHeight="1">
      <c r="A1007" s="5"/>
      <c r="B1007" s="90"/>
      <c r="C1007" s="91"/>
      <c r="D1007" s="91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8.75" customHeight="1">
      <c r="A1008" s="5"/>
      <c r="B1008" s="90"/>
      <c r="C1008" s="91"/>
      <c r="D1008" s="91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8.75" customHeight="1">
      <c r="A1009" s="5"/>
      <c r="B1009" s="90"/>
      <c r="C1009" s="91"/>
      <c r="D1009" s="91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8.75" customHeight="1">
      <c r="A1010" s="5"/>
      <c r="B1010" s="90"/>
      <c r="C1010" s="91"/>
      <c r="D1010" s="91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8.75" customHeight="1">
      <c r="A1011" s="5"/>
      <c r="B1011" s="90"/>
      <c r="C1011" s="91"/>
      <c r="D1011" s="91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8.75" customHeight="1">
      <c r="A1012" s="5"/>
      <c r="B1012" s="90"/>
      <c r="C1012" s="91"/>
      <c r="D1012" s="91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8.75" customHeight="1">
      <c r="A1013" s="5"/>
      <c r="B1013" s="90"/>
      <c r="C1013" s="91"/>
      <c r="D1013" s="91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8.75" customHeight="1">
      <c r="A1014" s="5"/>
      <c r="B1014" s="90"/>
      <c r="C1014" s="91"/>
      <c r="D1014" s="91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8.75" customHeight="1">
      <c r="A1015" s="5"/>
      <c r="B1015" s="90"/>
      <c r="C1015" s="91"/>
      <c r="D1015" s="91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8.75" customHeight="1">
      <c r="A1016" s="5"/>
      <c r="B1016" s="90"/>
      <c r="C1016" s="91"/>
      <c r="D1016" s="91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8.75" customHeight="1">
      <c r="A1017" s="5"/>
      <c r="B1017" s="90"/>
      <c r="C1017" s="91"/>
      <c r="D1017" s="91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8.75" customHeight="1">
      <c r="A1018" s="5"/>
      <c r="B1018" s="90"/>
      <c r="C1018" s="91"/>
      <c r="D1018" s="91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8.75" customHeight="1">
      <c r="A1019" s="5"/>
      <c r="B1019" s="90"/>
      <c r="C1019" s="91"/>
      <c r="D1019" s="91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8.75" customHeight="1">
      <c r="A1020" s="5"/>
      <c r="B1020" s="90"/>
      <c r="C1020" s="91"/>
      <c r="D1020" s="91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8.75" customHeight="1">
      <c r="A1021" s="5"/>
      <c r="B1021" s="90"/>
      <c r="C1021" s="91"/>
      <c r="D1021" s="91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8.75" customHeight="1">
      <c r="A1022" s="5"/>
      <c r="B1022" s="90"/>
      <c r="C1022" s="91"/>
      <c r="D1022" s="91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8.75" customHeight="1">
      <c r="A1023" s="5"/>
      <c r="B1023" s="90"/>
      <c r="C1023" s="91"/>
      <c r="D1023" s="91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8.75" customHeight="1">
      <c r="A1024" s="5"/>
      <c r="B1024" s="90"/>
      <c r="C1024" s="91"/>
      <c r="D1024" s="91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8.75" customHeight="1">
      <c r="A1025" s="5"/>
      <c r="B1025" s="90"/>
      <c r="C1025" s="91"/>
      <c r="D1025" s="91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8.75" customHeight="1">
      <c r="A1026" s="5"/>
      <c r="B1026" s="90"/>
      <c r="C1026" s="91"/>
      <c r="D1026" s="91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8.75" customHeight="1">
      <c r="A1027" s="5"/>
      <c r="B1027" s="90"/>
      <c r="C1027" s="91"/>
      <c r="D1027" s="91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8.75" customHeight="1">
      <c r="A1028" s="5"/>
      <c r="B1028" s="90"/>
      <c r="C1028" s="91"/>
      <c r="D1028" s="91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8.75" customHeight="1">
      <c r="A1029" s="5"/>
      <c r="B1029" s="90"/>
      <c r="C1029" s="91"/>
      <c r="D1029" s="91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8.75" customHeight="1">
      <c r="A1030" s="5"/>
      <c r="B1030" s="90"/>
      <c r="C1030" s="91"/>
      <c r="D1030" s="91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8.75" customHeight="1">
      <c r="A1031" s="5"/>
      <c r="B1031" s="90"/>
      <c r="C1031" s="91"/>
      <c r="D1031" s="91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8.75" customHeight="1">
      <c r="A1032" s="5"/>
      <c r="B1032" s="90"/>
      <c r="C1032" s="91"/>
      <c r="D1032" s="91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8.75" customHeight="1">
      <c r="A1033" s="5"/>
      <c r="B1033" s="90"/>
      <c r="C1033" s="91"/>
      <c r="D1033" s="91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8.75" customHeight="1">
      <c r="A1034" s="5"/>
      <c r="B1034" s="90"/>
      <c r="C1034" s="91"/>
      <c r="D1034" s="91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8.75" customHeight="1">
      <c r="A1035" s="5"/>
      <c r="B1035" s="90"/>
      <c r="C1035" s="91"/>
      <c r="D1035" s="91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8.75" customHeight="1">
      <c r="A1036" s="5"/>
      <c r="B1036" s="90"/>
      <c r="C1036" s="91"/>
      <c r="D1036" s="91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8.75" customHeight="1">
      <c r="A1037" s="5"/>
      <c r="B1037" s="90"/>
      <c r="C1037" s="91"/>
      <c r="D1037" s="91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8.75" customHeight="1">
      <c r="A1038" s="5"/>
      <c r="B1038" s="90"/>
      <c r="C1038" s="91"/>
      <c r="D1038" s="91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8.75" customHeight="1">
      <c r="A1039" s="5"/>
      <c r="B1039" s="90"/>
      <c r="C1039" s="91"/>
      <c r="D1039" s="91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8.75" customHeight="1">
      <c r="A1040" s="5"/>
      <c r="B1040" s="90"/>
      <c r="C1040" s="91"/>
      <c r="D1040" s="91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8.75" customHeight="1">
      <c r="A1041" s="5"/>
      <c r="B1041" s="90"/>
      <c r="C1041" s="91"/>
      <c r="D1041" s="91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8.75" customHeight="1">
      <c r="A1042" s="5"/>
      <c r="B1042" s="90"/>
      <c r="C1042" s="91"/>
      <c r="D1042" s="91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8.75" customHeight="1">
      <c r="A1043" s="5"/>
      <c r="B1043" s="90"/>
      <c r="C1043" s="91"/>
      <c r="D1043" s="91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8.75" customHeight="1">
      <c r="A1044" s="5"/>
      <c r="B1044" s="90"/>
      <c r="C1044" s="91"/>
      <c r="D1044" s="91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8.75" customHeight="1">
      <c r="A1045" s="5"/>
      <c r="B1045" s="90"/>
      <c r="C1045" s="91"/>
      <c r="D1045" s="91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63"/>
    <col customWidth="1" min="2" max="2" width="7.13"/>
    <col customWidth="1" min="3" max="3" width="3.88"/>
    <col customWidth="1" min="4" max="4" width="10.63"/>
    <col customWidth="1" min="5" max="11" width="8.0"/>
    <col customWidth="1" min="12" max="26" width="7.75"/>
  </cols>
  <sheetData>
    <row r="1" ht="18.75" customHeight="1">
      <c r="A1" s="95" t="s">
        <v>152</v>
      </c>
      <c r="B1" s="96"/>
      <c r="C1" s="96"/>
      <c r="D1" s="97"/>
      <c r="E1" s="96"/>
      <c r="F1" s="9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9.0" customHeight="1">
      <c r="A2" s="98" t="s">
        <v>1</v>
      </c>
      <c r="B2" s="99" t="s">
        <v>153</v>
      </c>
      <c r="C2" s="99" t="s">
        <v>2</v>
      </c>
      <c r="D2" s="99" t="s">
        <v>2</v>
      </c>
      <c r="E2" s="100" t="s">
        <v>154</v>
      </c>
      <c r="F2" s="100" t="s">
        <v>155</v>
      </c>
      <c r="G2" s="101" t="s">
        <v>156</v>
      </c>
      <c r="H2" s="101" t="s">
        <v>157</v>
      </c>
      <c r="I2" s="102" t="s">
        <v>158</v>
      </c>
      <c r="J2" s="102" t="s">
        <v>159</v>
      </c>
      <c r="K2" s="103" t="s">
        <v>160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104">
        <v>1.0</v>
      </c>
      <c r="B3" s="104">
        <v>2017.0</v>
      </c>
      <c r="C3" s="104">
        <v>5.0</v>
      </c>
      <c r="D3" s="99" t="s">
        <v>138</v>
      </c>
      <c r="E3" s="105"/>
      <c r="F3" s="105"/>
      <c r="G3" s="106"/>
      <c r="H3" s="106"/>
      <c r="I3" s="106"/>
      <c r="J3" s="10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104">
        <v>2.0</v>
      </c>
      <c r="B4" s="104">
        <v>2017.0</v>
      </c>
      <c r="C4" s="104">
        <v>6.0</v>
      </c>
      <c r="D4" s="99" t="s">
        <v>139</v>
      </c>
      <c r="E4" s="105"/>
      <c r="F4" s="105"/>
      <c r="G4" s="106"/>
      <c r="H4" s="106"/>
      <c r="I4" s="106"/>
      <c r="J4" s="106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04">
        <v>3.0</v>
      </c>
      <c r="B5" s="104">
        <v>2017.0</v>
      </c>
      <c r="C5" s="104">
        <v>7.0</v>
      </c>
      <c r="D5" s="99" t="s">
        <v>140</v>
      </c>
      <c r="E5" s="105"/>
      <c r="F5" s="105"/>
      <c r="G5" s="106"/>
      <c r="H5" s="106"/>
      <c r="I5" s="106"/>
      <c r="J5" s="106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104">
        <v>4.0</v>
      </c>
      <c r="B6" s="104">
        <v>2017.0</v>
      </c>
      <c r="C6" s="104">
        <v>8.0</v>
      </c>
      <c r="D6" s="99" t="s">
        <v>141</v>
      </c>
      <c r="E6" s="105"/>
      <c r="F6" s="105"/>
      <c r="G6" s="106"/>
      <c r="H6" s="106"/>
      <c r="I6" s="106"/>
      <c r="J6" s="10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104">
        <v>5.0</v>
      </c>
      <c r="B7" s="104">
        <v>2017.0</v>
      </c>
      <c r="C7" s="104">
        <v>9.0</v>
      </c>
      <c r="D7" s="99" t="s">
        <v>142</v>
      </c>
      <c r="E7" s="105"/>
      <c r="F7" s="105"/>
      <c r="G7" s="106"/>
      <c r="H7" s="106"/>
      <c r="I7" s="106"/>
      <c r="J7" s="10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104">
        <v>6.0</v>
      </c>
      <c r="B8" s="104">
        <v>2017.0</v>
      </c>
      <c r="C8" s="104">
        <v>10.0</v>
      </c>
      <c r="D8" s="99" t="s">
        <v>143</v>
      </c>
      <c r="E8" s="105"/>
      <c r="F8" s="105"/>
      <c r="G8" s="106"/>
      <c r="H8" s="106"/>
      <c r="I8" s="106"/>
      <c r="J8" s="106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104">
        <v>7.0</v>
      </c>
      <c r="B9" s="104">
        <v>2017.0</v>
      </c>
      <c r="C9" s="104">
        <v>11.0</v>
      </c>
      <c r="D9" s="99" t="s">
        <v>144</v>
      </c>
      <c r="E9" s="105"/>
      <c r="F9" s="105"/>
      <c r="G9" s="106"/>
      <c r="H9" s="106"/>
      <c r="I9" s="106"/>
      <c r="J9" s="106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104">
        <v>8.0</v>
      </c>
      <c r="B10" s="104">
        <v>2017.0</v>
      </c>
      <c r="C10" s="104">
        <v>12.0</v>
      </c>
      <c r="D10" s="99" t="s">
        <v>145</v>
      </c>
      <c r="E10" s="105"/>
      <c r="F10" s="105"/>
      <c r="G10" s="106"/>
      <c r="H10" s="106"/>
      <c r="I10" s="106"/>
      <c r="J10" s="106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104">
        <v>9.0</v>
      </c>
      <c r="B11" s="104">
        <v>2018.0</v>
      </c>
      <c r="C11" s="104">
        <v>1.0</v>
      </c>
      <c r="D11" s="99" t="s">
        <v>18</v>
      </c>
      <c r="E11" s="105">
        <f>'使用量'!F12</f>
        <v>4738</v>
      </c>
      <c r="F11" s="105"/>
      <c r="G11" s="106"/>
      <c r="H11" s="106"/>
      <c r="I11" s="106"/>
      <c r="J11" s="10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104">
        <v>10.0</v>
      </c>
      <c r="B12" s="104">
        <v>2018.0</v>
      </c>
      <c r="C12" s="104">
        <v>2.0</v>
      </c>
      <c r="D12" s="99" t="s">
        <v>19</v>
      </c>
      <c r="E12" s="105">
        <f>'使用量'!F13</f>
        <v>4521</v>
      </c>
      <c r="F12" s="105"/>
      <c r="G12" s="106"/>
      <c r="H12" s="106"/>
      <c r="I12" s="106"/>
      <c r="J12" s="106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104">
        <v>11.0</v>
      </c>
      <c r="B13" s="104">
        <v>2018.0</v>
      </c>
      <c r="C13" s="104">
        <v>3.0</v>
      </c>
      <c r="D13" s="99" t="s">
        <v>20</v>
      </c>
      <c r="E13" s="105">
        <f>'使用量'!F14</f>
        <v>3732</v>
      </c>
      <c r="F13" s="105"/>
      <c r="G13" s="106"/>
      <c r="H13" s="106"/>
      <c r="I13" s="106"/>
      <c r="J13" s="10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104">
        <v>12.0</v>
      </c>
      <c r="B14" s="104">
        <v>2018.0</v>
      </c>
      <c r="C14" s="104">
        <v>4.0</v>
      </c>
      <c r="D14" s="99" t="s">
        <v>21</v>
      </c>
      <c r="E14" s="105">
        <f>'使用量'!F15</f>
        <v>3332</v>
      </c>
      <c r="F14" s="105"/>
      <c r="G14" s="106"/>
      <c r="H14" s="106"/>
      <c r="I14" s="106"/>
      <c r="J14" s="10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104">
        <v>13.0</v>
      </c>
      <c r="B15" s="104">
        <v>2018.0</v>
      </c>
      <c r="C15" s="104">
        <v>5.0</v>
      </c>
      <c r="D15" s="99" t="s">
        <v>22</v>
      </c>
      <c r="E15" s="105">
        <f>'使用量'!F16</f>
        <v>3720</v>
      </c>
      <c r="F15" s="105"/>
      <c r="G15" s="106"/>
      <c r="H15" s="106"/>
      <c r="I15" s="106"/>
      <c r="J15" s="106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104">
        <v>14.0</v>
      </c>
      <c r="B16" s="104">
        <v>2018.0</v>
      </c>
      <c r="C16" s="104">
        <v>6.0</v>
      </c>
      <c r="D16" s="99" t="s">
        <v>23</v>
      </c>
      <c r="E16" s="105">
        <f>'使用量'!F17</f>
        <v>3396</v>
      </c>
      <c r="F16" s="105"/>
      <c r="G16" s="106"/>
      <c r="H16" s="106"/>
      <c r="I16" s="106"/>
      <c r="J16" s="10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104">
        <v>15.0</v>
      </c>
      <c r="B17" s="104">
        <v>2018.0</v>
      </c>
      <c r="C17" s="104">
        <v>7.0</v>
      </c>
      <c r="D17" s="99" t="s">
        <v>24</v>
      </c>
      <c r="E17" s="105">
        <f>'使用量'!F18</f>
        <v>4928</v>
      </c>
      <c r="F17" s="105"/>
      <c r="G17" s="106"/>
      <c r="H17" s="106"/>
      <c r="I17" s="106"/>
      <c r="J17" s="10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104">
        <v>16.0</v>
      </c>
      <c r="B18" s="104">
        <v>2018.0</v>
      </c>
      <c r="C18" s="104">
        <v>8.0</v>
      </c>
      <c r="D18" s="99" t="s">
        <v>25</v>
      </c>
      <c r="E18" s="105">
        <f>'使用量'!F19</f>
        <v>5656</v>
      </c>
      <c r="F18" s="105"/>
      <c r="G18" s="106"/>
      <c r="H18" s="106"/>
      <c r="I18" s="106"/>
      <c r="J18" s="10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104">
        <v>17.0</v>
      </c>
      <c r="B19" s="104">
        <v>2018.0</v>
      </c>
      <c r="C19" s="104">
        <v>9.0</v>
      </c>
      <c r="D19" s="99" t="s">
        <v>26</v>
      </c>
      <c r="E19" s="105">
        <f>'使用量'!F20</f>
        <v>5030</v>
      </c>
      <c r="F19" s="105"/>
      <c r="G19" s="106"/>
      <c r="H19" s="106"/>
      <c r="I19" s="106"/>
      <c r="J19" s="10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04">
        <v>18.0</v>
      </c>
      <c r="B20" s="104">
        <v>2018.0</v>
      </c>
      <c r="C20" s="104">
        <v>10.0</v>
      </c>
      <c r="D20" s="99" t="s">
        <v>27</v>
      </c>
      <c r="E20" s="105">
        <f>'使用量'!F21</f>
        <v>3662</v>
      </c>
      <c r="F20" s="105"/>
      <c r="G20" s="106"/>
      <c r="H20" s="106"/>
      <c r="I20" s="106"/>
      <c r="J20" s="10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104">
        <v>19.0</v>
      </c>
      <c r="B21" s="104">
        <v>2018.0</v>
      </c>
      <c r="C21" s="104">
        <v>11.0</v>
      </c>
      <c r="D21" s="99" t="s">
        <v>28</v>
      </c>
      <c r="E21" s="105">
        <f>'使用量'!F22</f>
        <v>3948</v>
      </c>
      <c r="F21" s="105"/>
      <c r="G21" s="106"/>
      <c r="H21" s="106"/>
      <c r="I21" s="106"/>
      <c r="J21" s="10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104">
        <v>20.0</v>
      </c>
      <c r="B22" s="104">
        <v>2018.0</v>
      </c>
      <c r="C22" s="104">
        <v>12.0</v>
      </c>
      <c r="D22" s="99" t="s">
        <v>29</v>
      </c>
      <c r="E22" s="105">
        <f>'使用量'!F23</f>
        <v>4281</v>
      </c>
      <c r="F22" s="105"/>
      <c r="G22" s="106"/>
      <c r="H22" s="106"/>
      <c r="I22" s="106"/>
      <c r="J22" s="10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104">
        <v>21.0</v>
      </c>
      <c r="B23" s="104">
        <v>2019.0</v>
      </c>
      <c r="C23" s="104">
        <v>1.0</v>
      </c>
      <c r="D23" s="99" t="s">
        <v>30</v>
      </c>
      <c r="E23" s="105">
        <f>'使用量'!F24</f>
        <v>5346</v>
      </c>
      <c r="F23" s="105"/>
      <c r="G23" s="106"/>
      <c r="H23" s="106"/>
      <c r="I23" s="106"/>
      <c r="J23" s="10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104">
        <v>22.0</v>
      </c>
      <c r="B24" s="104">
        <v>2019.0</v>
      </c>
      <c r="C24" s="104">
        <v>2.0</v>
      </c>
      <c r="D24" s="99" t="s">
        <v>31</v>
      </c>
      <c r="E24" s="105">
        <f>'使用量'!F25</f>
        <v>4607</v>
      </c>
      <c r="F24" s="105"/>
      <c r="G24" s="106"/>
      <c r="H24" s="106"/>
      <c r="I24" s="106"/>
      <c r="J24" s="10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104">
        <v>23.0</v>
      </c>
      <c r="B25" s="104">
        <v>2019.0</v>
      </c>
      <c r="C25" s="104">
        <v>3.0</v>
      </c>
      <c r="D25" s="99" t="s">
        <v>32</v>
      </c>
      <c r="E25" s="105">
        <f>'使用量'!F26</f>
        <v>3303</v>
      </c>
      <c r="F25" s="105"/>
      <c r="G25" s="106"/>
      <c r="H25" s="106"/>
      <c r="I25" s="106"/>
      <c r="J25" s="10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104">
        <v>24.0</v>
      </c>
      <c r="B26" s="104">
        <v>2019.0</v>
      </c>
      <c r="C26" s="104">
        <v>4.0</v>
      </c>
      <c r="D26" s="99" t="s">
        <v>33</v>
      </c>
      <c r="E26" s="105">
        <f>'使用量'!F27</f>
        <v>3152</v>
      </c>
      <c r="F26" s="105"/>
      <c r="G26" s="106"/>
      <c r="H26" s="106"/>
      <c r="I26" s="106"/>
      <c r="J26" s="10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104">
        <v>25.0</v>
      </c>
      <c r="B27" s="104">
        <v>2019.0</v>
      </c>
      <c r="C27" s="104">
        <v>5.0</v>
      </c>
      <c r="D27" s="99" t="s">
        <v>34</v>
      </c>
      <c r="E27" s="105">
        <f>'使用量'!F28</f>
        <v>3578</v>
      </c>
      <c r="F27" s="105"/>
      <c r="G27" s="106"/>
      <c r="H27" s="106"/>
      <c r="I27" s="106"/>
      <c r="J27" s="10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104">
        <v>26.0</v>
      </c>
      <c r="B28" s="104">
        <v>2019.0</v>
      </c>
      <c r="C28" s="104">
        <v>6.0</v>
      </c>
      <c r="D28" s="99" t="s">
        <v>35</v>
      </c>
      <c r="E28" s="105">
        <f>'使用量'!F29</f>
        <v>4504</v>
      </c>
      <c r="F28" s="105"/>
      <c r="G28" s="106"/>
      <c r="H28" s="106"/>
      <c r="I28" s="106"/>
      <c r="J28" s="10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104">
        <v>27.0</v>
      </c>
      <c r="B29" s="104">
        <v>2019.0</v>
      </c>
      <c r="C29" s="104">
        <v>7.0</v>
      </c>
      <c r="D29" s="99" t="s">
        <v>36</v>
      </c>
      <c r="E29" s="105">
        <f>'使用量'!F30</f>
        <v>4642</v>
      </c>
      <c r="F29" s="105"/>
      <c r="G29" s="106"/>
      <c r="H29" s="106"/>
      <c r="I29" s="106"/>
      <c r="J29" s="10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104">
        <v>28.0</v>
      </c>
      <c r="B30" s="104">
        <v>2019.0</v>
      </c>
      <c r="C30" s="104">
        <v>8.0</v>
      </c>
      <c r="D30" s="99" t="s">
        <v>37</v>
      </c>
      <c r="E30" s="105">
        <f>'使用量'!F31</f>
        <v>6476</v>
      </c>
      <c r="F30" s="105"/>
      <c r="G30" s="106"/>
      <c r="H30" s="106"/>
      <c r="I30" s="106"/>
      <c r="J30" s="106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104">
        <v>29.0</v>
      </c>
      <c r="B31" s="104">
        <v>2019.0</v>
      </c>
      <c r="C31" s="104">
        <v>9.0</v>
      </c>
      <c r="D31" s="99" t="s">
        <v>38</v>
      </c>
      <c r="E31" s="105">
        <f>'使用量'!F32</f>
        <v>5417</v>
      </c>
      <c r="F31" s="105"/>
      <c r="G31" s="106"/>
      <c r="H31" s="106"/>
      <c r="I31" s="106"/>
      <c r="J31" s="106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104">
        <v>30.0</v>
      </c>
      <c r="B32" s="104">
        <v>2019.0</v>
      </c>
      <c r="C32" s="104">
        <v>10.0</v>
      </c>
      <c r="D32" s="99" t="s">
        <v>39</v>
      </c>
      <c r="E32" s="105">
        <f>'使用量'!F33</f>
        <v>4631</v>
      </c>
      <c r="F32" s="105"/>
      <c r="G32" s="106"/>
      <c r="H32" s="106"/>
      <c r="I32" s="106"/>
      <c r="J32" s="106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104">
        <v>31.0</v>
      </c>
      <c r="B33" s="104">
        <v>2019.0</v>
      </c>
      <c r="C33" s="104">
        <v>11.0</v>
      </c>
      <c r="D33" s="99" t="s">
        <v>40</v>
      </c>
      <c r="E33" s="105">
        <f>'使用量'!F34</f>
        <v>3857</v>
      </c>
      <c r="F33" s="105"/>
      <c r="G33" s="106"/>
      <c r="H33" s="106"/>
      <c r="I33" s="106"/>
      <c r="J33" s="10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104">
        <v>32.0</v>
      </c>
      <c r="B34" s="104">
        <v>2019.0</v>
      </c>
      <c r="C34" s="104">
        <v>12.0</v>
      </c>
      <c r="D34" s="99" t="s">
        <v>41</v>
      </c>
      <c r="E34" s="105">
        <f>'使用量'!F35</f>
        <v>4232</v>
      </c>
      <c r="F34" s="105"/>
      <c r="G34" s="106"/>
      <c r="H34" s="106"/>
      <c r="I34" s="106"/>
      <c r="J34" s="10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104">
        <v>33.0</v>
      </c>
      <c r="B35" s="104">
        <v>2020.0</v>
      </c>
      <c r="C35" s="104">
        <v>1.0</v>
      </c>
      <c r="D35" s="99" t="s">
        <v>42</v>
      </c>
      <c r="E35" s="105">
        <f>'使用量'!F36</f>
        <v>5111</v>
      </c>
      <c r="F35" s="105"/>
      <c r="G35" s="106"/>
      <c r="H35" s="106"/>
      <c r="I35" s="106"/>
      <c r="J35" s="10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104">
        <v>34.0</v>
      </c>
      <c r="B36" s="104">
        <v>2020.0</v>
      </c>
      <c r="C36" s="104">
        <v>2.0</v>
      </c>
      <c r="D36" s="99" t="s">
        <v>43</v>
      </c>
      <c r="E36" s="105">
        <f>'使用量'!F37</f>
        <v>4332</v>
      </c>
      <c r="F36" s="105"/>
      <c r="G36" s="106"/>
      <c r="H36" s="106"/>
      <c r="I36" s="106"/>
      <c r="J36" s="10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104">
        <v>35.0</v>
      </c>
      <c r="B37" s="104">
        <v>2020.0</v>
      </c>
      <c r="C37" s="104">
        <v>3.0</v>
      </c>
      <c r="D37" s="99" t="s">
        <v>44</v>
      </c>
      <c r="E37" s="105">
        <f>'使用量'!F38</f>
        <v>2729</v>
      </c>
      <c r="F37" s="105"/>
      <c r="G37" s="106"/>
      <c r="H37" s="106"/>
      <c r="I37" s="106"/>
      <c r="J37" s="10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104">
        <v>36.0</v>
      </c>
      <c r="B38" s="104">
        <v>2020.0</v>
      </c>
      <c r="C38" s="104">
        <v>4.0</v>
      </c>
      <c r="D38" s="99" t="s">
        <v>45</v>
      </c>
      <c r="E38" s="105">
        <f>'使用量'!F39</f>
        <v>2775</v>
      </c>
      <c r="F38" s="105"/>
      <c r="G38" s="106"/>
      <c r="H38" s="106"/>
      <c r="I38" s="106"/>
      <c r="J38" s="10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104">
        <v>37.0</v>
      </c>
      <c r="B39" s="104">
        <v>2020.0</v>
      </c>
      <c r="C39" s="104">
        <v>5.0</v>
      </c>
      <c r="D39" s="99" t="s">
        <v>46</v>
      </c>
      <c r="E39" s="105">
        <f>'使用量'!F40</f>
        <v>2535</v>
      </c>
      <c r="F39" s="105"/>
      <c r="G39" s="106"/>
      <c r="H39" s="106"/>
      <c r="I39" s="106"/>
      <c r="J39" s="106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104">
        <v>38.0</v>
      </c>
      <c r="B40" s="104">
        <v>2020.0</v>
      </c>
      <c r="C40" s="104">
        <v>6.0</v>
      </c>
      <c r="D40" s="99" t="s">
        <v>47</v>
      </c>
      <c r="E40" s="105">
        <f>'使用量'!F41</f>
        <v>2694</v>
      </c>
      <c r="F40" s="105">
        <v>3305.38</v>
      </c>
      <c r="G40" s="107">
        <v>2033.0</v>
      </c>
      <c r="H40" s="105">
        <v>1622.5</v>
      </c>
      <c r="I40" s="108">
        <f t="shared" ref="I40:I61" si="1">SUM(E40+G40+H40)</f>
        <v>6349.5</v>
      </c>
      <c r="J40" s="108">
        <f t="shared" ref="J40:J61" si="2">SUM(F40:H40)</f>
        <v>6960.88</v>
      </c>
      <c r="K40" s="109">
        <f t="shared" ref="K40:K61" si="3">(J40-I40)/I40</f>
        <v>0.09628789668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104">
        <v>39.0</v>
      </c>
      <c r="B41" s="104">
        <v>2020.0</v>
      </c>
      <c r="C41" s="104">
        <v>7.0</v>
      </c>
      <c r="D41" s="99" t="s">
        <v>48</v>
      </c>
      <c r="E41" s="105">
        <f>'使用量'!F42</f>
        <v>2842</v>
      </c>
      <c r="F41" s="105">
        <v>3413.52</v>
      </c>
      <c r="G41" s="107">
        <v>2030.0</v>
      </c>
      <c r="H41" s="105">
        <v>1622.5</v>
      </c>
      <c r="I41" s="108">
        <f t="shared" si="1"/>
        <v>6494.5</v>
      </c>
      <c r="J41" s="108">
        <f t="shared" si="2"/>
        <v>7066.02</v>
      </c>
      <c r="K41" s="109">
        <f t="shared" si="3"/>
        <v>0.08800061591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104">
        <v>40.0</v>
      </c>
      <c r="B42" s="104">
        <v>2020.0</v>
      </c>
      <c r="C42" s="104">
        <v>8.0</v>
      </c>
      <c r="D42" s="99" t="s">
        <v>49</v>
      </c>
      <c r="E42" s="105">
        <f>'使用量'!F43</f>
        <v>4123</v>
      </c>
      <c r="F42" s="105">
        <v>4647.16</v>
      </c>
      <c r="G42" s="107">
        <v>2027.0</v>
      </c>
      <c r="H42" s="105">
        <v>1610.0</v>
      </c>
      <c r="I42" s="108">
        <f t="shared" si="1"/>
        <v>7760</v>
      </c>
      <c r="J42" s="108">
        <f t="shared" si="2"/>
        <v>8284.16</v>
      </c>
      <c r="K42" s="109">
        <f t="shared" si="3"/>
        <v>0.06754639175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104">
        <v>41.0</v>
      </c>
      <c r="B43" s="104">
        <v>2020.0</v>
      </c>
      <c r="C43" s="104">
        <v>9.0</v>
      </c>
      <c r="D43" s="99" t="s">
        <v>50</v>
      </c>
      <c r="E43" s="105">
        <f>'使用量'!F44</f>
        <v>4752</v>
      </c>
      <c r="F43" s="105">
        <v>5207.76</v>
      </c>
      <c r="G43" s="107">
        <v>1730.0</v>
      </c>
      <c r="H43" s="105">
        <v>1610.0</v>
      </c>
      <c r="I43" s="108">
        <f t="shared" si="1"/>
        <v>8092</v>
      </c>
      <c r="J43" s="108">
        <f t="shared" si="2"/>
        <v>8547.76</v>
      </c>
      <c r="K43" s="109">
        <f t="shared" si="3"/>
        <v>0.05632229362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104">
        <v>42.0</v>
      </c>
      <c r="B44" s="104">
        <v>2020.0</v>
      </c>
      <c r="C44" s="104">
        <v>10.0</v>
      </c>
      <c r="D44" s="99" t="s">
        <v>51</v>
      </c>
      <c r="E44" s="105">
        <f>'使用量'!F45</f>
        <v>2686</v>
      </c>
      <c r="F44" s="105">
        <v>3428.52</v>
      </c>
      <c r="G44" s="107">
        <v>2784.0</v>
      </c>
      <c r="H44" s="105">
        <v>1622.5</v>
      </c>
      <c r="I44" s="108">
        <f t="shared" si="1"/>
        <v>7092.5</v>
      </c>
      <c r="J44" s="108">
        <f t="shared" si="2"/>
        <v>7835.02</v>
      </c>
      <c r="K44" s="109">
        <f t="shared" si="3"/>
        <v>0.1046908706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104">
        <v>43.0</v>
      </c>
      <c r="B45" s="104">
        <v>2020.0</v>
      </c>
      <c r="C45" s="104">
        <v>11.0</v>
      </c>
      <c r="D45" s="99" t="s">
        <v>53</v>
      </c>
      <c r="E45" s="105">
        <f>'使用量'!F46</f>
        <v>2452</v>
      </c>
      <c r="F45" s="105">
        <v>3209.2</v>
      </c>
      <c r="G45" s="107">
        <v>2186.0</v>
      </c>
      <c r="H45" s="105">
        <v>1622.5</v>
      </c>
      <c r="I45" s="108">
        <f t="shared" si="1"/>
        <v>6260.5</v>
      </c>
      <c r="J45" s="108">
        <f t="shared" si="2"/>
        <v>7017.7</v>
      </c>
      <c r="K45" s="109">
        <f t="shared" si="3"/>
        <v>0.120948806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104">
        <v>44.0</v>
      </c>
      <c r="B46" s="104">
        <v>2020.0</v>
      </c>
      <c r="C46" s="104">
        <v>12.0</v>
      </c>
      <c r="D46" s="99" t="s">
        <v>54</v>
      </c>
      <c r="E46" s="105">
        <f>'使用量'!F47</f>
        <v>2396</v>
      </c>
      <c r="F46" s="105">
        <v>3149.85</v>
      </c>
      <c r="G46" s="107">
        <v>3264.0</v>
      </c>
      <c r="H46" s="105">
        <v>1925.0</v>
      </c>
      <c r="I46" s="108">
        <f t="shared" si="1"/>
        <v>7585</v>
      </c>
      <c r="J46" s="108">
        <f t="shared" si="2"/>
        <v>8338.85</v>
      </c>
      <c r="K46" s="109">
        <f t="shared" si="3"/>
        <v>0.09938694792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104">
        <v>45.0</v>
      </c>
      <c r="B47" s="110" t="s">
        <v>55</v>
      </c>
      <c r="C47" s="110" t="s">
        <v>56</v>
      </c>
      <c r="D47" s="99" t="s">
        <v>57</v>
      </c>
      <c r="E47" s="105">
        <f>'使用量'!F48</f>
        <v>2570</v>
      </c>
      <c r="F47" s="105">
        <v>3382.92</v>
      </c>
      <c r="G47" s="107">
        <v>4731.0</v>
      </c>
      <c r="H47" s="105">
        <v>1925.0</v>
      </c>
      <c r="I47" s="108">
        <f t="shared" si="1"/>
        <v>9226</v>
      </c>
      <c r="J47" s="108">
        <f t="shared" si="2"/>
        <v>10038.92</v>
      </c>
      <c r="K47" s="109">
        <f t="shared" si="3"/>
        <v>0.08811185779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104">
        <v>46.0</v>
      </c>
      <c r="B48" s="110" t="s">
        <v>55</v>
      </c>
      <c r="C48" s="110" t="s">
        <v>58</v>
      </c>
      <c r="D48" s="99" t="s">
        <v>59</v>
      </c>
      <c r="E48" s="105">
        <f>'使用量'!F49</f>
        <v>2503</v>
      </c>
      <c r="F48" s="105">
        <v>3533.8</v>
      </c>
      <c r="G48" s="107">
        <v>3447.0</v>
      </c>
      <c r="H48" s="105">
        <v>1634.5</v>
      </c>
      <c r="I48" s="108">
        <f t="shared" si="1"/>
        <v>7584.5</v>
      </c>
      <c r="J48" s="108">
        <f t="shared" si="2"/>
        <v>8615.3</v>
      </c>
      <c r="K48" s="109">
        <f t="shared" si="3"/>
        <v>0.1359087613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104">
        <v>47.0</v>
      </c>
      <c r="B49" s="110" t="s">
        <v>55</v>
      </c>
      <c r="C49" s="110" t="s">
        <v>60</v>
      </c>
      <c r="D49" s="99" t="s">
        <v>61</v>
      </c>
      <c r="E49" s="105">
        <f>'使用量'!F50</f>
        <v>2253</v>
      </c>
      <c r="F49" s="111">
        <v>3615.4</v>
      </c>
      <c r="G49" s="107">
        <v>3722.0</v>
      </c>
      <c r="H49" s="105">
        <v>1634.5</v>
      </c>
      <c r="I49" s="108">
        <f t="shared" si="1"/>
        <v>7609.5</v>
      </c>
      <c r="J49" s="108">
        <f t="shared" si="2"/>
        <v>8971.9</v>
      </c>
      <c r="K49" s="109">
        <f t="shared" si="3"/>
        <v>0.1790393587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104">
        <v>48.0</v>
      </c>
      <c r="B50" s="110" t="s">
        <v>55</v>
      </c>
      <c r="C50" s="110" t="s">
        <v>62</v>
      </c>
      <c r="D50" s="99" t="s">
        <v>63</v>
      </c>
      <c r="E50" s="105">
        <v>2394.0</v>
      </c>
      <c r="F50" s="105">
        <v>3747.09</v>
      </c>
      <c r="G50" s="112">
        <v>2719.0</v>
      </c>
      <c r="H50" s="105">
        <v>1586.0</v>
      </c>
      <c r="I50" s="108">
        <f t="shared" si="1"/>
        <v>6699</v>
      </c>
      <c r="J50" s="108">
        <f t="shared" si="2"/>
        <v>8052.09</v>
      </c>
      <c r="K50" s="109">
        <f t="shared" si="3"/>
        <v>0.2019838782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104">
        <v>49.0</v>
      </c>
      <c r="B51" s="110" t="s">
        <v>55</v>
      </c>
      <c r="C51" s="110" t="s">
        <v>64</v>
      </c>
      <c r="D51" s="99" t="s">
        <v>65</v>
      </c>
      <c r="E51" s="105">
        <v>2440.0</v>
      </c>
      <c r="F51" s="105">
        <v>3649.68</v>
      </c>
      <c r="G51" s="112">
        <v>1974.0</v>
      </c>
      <c r="H51" s="105">
        <v>1586.0</v>
      </c>
      <c r="I51" s="108">
        <f t="shared" si="1"/>
        <v>6000</v>
      </c>
      <c r="J51" s="108">
        <f t="shared" si="2"/>
        <v>7209.68</v>
      </c>
      <c r="K51" s="109">
        <f t="shared" si="3"/>
        <v>0.2016133333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104">
        <v>50.0</v>
      </c>
      <c r="B52" s="110" t="s">
        <v>55</v>
      </c>
      <c r="C52" s="110" t="s">
        <v>66</v>
      </c>
      <c r="D52" s="99" t="s">
        <v>67</v>
      </c>
      <c r="E52" s="105">
        <f>25.54*'使用量'!E53-107.38</f>
        <v>2421.08</v>
      </c>
      <c r="F52" s="105">
        <v>3731.0</v>
      </c>
      <c r="G52" s="112">
        <v>1576.0</v>
      </c>
      <c r="H52" s="105">
        <v>1562.0</v>
      </c>
      <c r="I52" s="108">
        <f t="shared" si="1"/>
        <v>5559.08</v>
      </c>
      <c r="J52" s="108">
        <f t="shared" si="2"/>
        <v>6869</v>
      </c>
      <c r="K52" s="109">
        <f t="shared" si="3"/>
        <v>0.2356361125</v>
      </c>
      <c r="L52" s="105">
        <v>3731.0</v>
      </c>
      <c r="M52" s="105">
        <v>2694.0</v>
      </c>
      <c r="N52" s="5">
        <f t="shared" ref="N52:N53" si="4">1-L52/M52</f>
        <v>-0.3849294729</v>
      </c>
      <c r="O52" s="5">
        <v>1576.0</v>
      </c>
      <c r="P52" s="5">
        <v>2033.0</v>
      </c>
      <c r="Q52" s="5">
        <f t="shared" ref="Q52:Q53" si="5">1-O52/P52</f>
        <v>0.2247909493</v>
      </c>
      <c r="R52" s="5">
        <v>1562.0</v>
      </c>
      <c r="S52" s="5">
        <v>1622.5</v>
      </c>
      <c r="T52" s="5">
        <f t="shared" ref="T52:T53" si="6">1-R52/S52</f>
        <v>0.03728813559</v>
      </c>
      <c r="U52" s="5"/>
      <c r="V52" s="5"/>
      <c r="W52" s="5"/>
      <c r="X52" s="5"/>
      <c r="Y52" s="5"/>
      <c r="Z52" s="5"/>
    </row>
    <row r="53" ht="18.75" customHeight="1">
      <c r="A53" s="104">
        <v>51.0</v>
      </c>
      <c r="B53" s="110" t="s">
        <v>55</v>
      </c>
      <c r="C53" s="110" t="s">
        <v>68</v>
      </c>
      <c r="D53" s="99" t="s">
        <v>69</v>
      </c>
      <c r="E53" s="105">
        <f>25.54*'使用量'!E54-107.38</f>
        <v>2650.94</v>
      </c>
      <c r="F53" s="105">
        <v>4006.0</v>
      </c>
      <c r="G53" s="112">
        <v>1746.0</v>
      </c>
      <c r="H53" s="108">
        <v>1562.0</v>
      </c>
      <c r="I53" s="108">
        <f t="shared" si="1"/>
        <v>5958.94</v>
      </c>
      <c r="J53" s="108">
        <f t="shared" si="2"/>
        <v>7314</v>
      </c>
      <c r="K53" s="109">
        <f t="shared" si="3"/>
        <v>0.2273995039</v>
      </c>
      <c r="L53" s="105">
        <v>4006.0</v>
      </c>
      <c r="M53" s="105">
        <v>2842.0</v>
      </c>
      <c r="N53" s="5">
        <f t="shared" si="4"/>
        <v>-0.4095707248</v>
      </c>
      <c r="O53" s="5">
        <v>1746.0</v>
      </c>
      <c r="P53" s="5">
        <v>2030.0</v>
      </c>
      <c r="Q53" s="5">
        <f t="shared" si="5"/>
        <v>0.1399014778</v>
      </c>
      <c r="R53" s="5">
        <v>1562.0</v>
      </c>
      <c r="S53" s="5">
        <v>1622.5</v>
      </c>
      <c r="T53" s="5">
        <f t="shared" si="6"/>
        <v>0.03728813559</v>
      </c>
      <c r="U53" s="5"/>
      <c r="V53" s="5"/>
      <c r="W53" s="5"/>
      <c r="X53" s="5"/>
      <c r="Y53" s="5"/>
      <c r="Z53" s="5"/>
    </row>
    <row r="54" ht="18.75" customHeight="1">
      <c r="A54" s="104">
        <v>52.0</v>
      </c>
      <c r="B54" s="110" t="s">
        <v>55</v>
      </c>
      <c r="C54" s="110" t="s">
        <v>70</v>
      </c>
      <c r="D54" s="99" t="s">
        <v>71</v>
      </c>
      <c r="E54" s="105">
        <f>25.54*'使用量'!E55-107.38</f>
        <v>4770.76</v>
      </c>
      <c r="F54" s="105"/>
      <c r="G54" s="112"/>
      <c r="H54" s="108"/>
      <c r="I54" s="108">
        <f t="shared" si="1"/>
        <v>4770.76</v>
      </c>
      <c r="J54" s="108">
        <f t="shared" si="2"/>
        <v>0</v>
      </c>
      <c r="K54" s="109">
        <f t="shared" si="3"/>
        <v>-1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104">
        <v>53.0</v>
      </c>
      <c r="B55" s="110" t="s">
        <v>55</v>
      </c>
      <c r="C55" s="110" t="s">
        <v>72</v>
      </c>
      <c r="D55" s="99" t="s">
        <v>73</v>
      </c>
      <c r="E55" s="105">
        <f>25.54*'使用量'!E56-107.38</f>
        <v>3314.98</v>
      </c>
      <c r="F55" s="105"/>
      <c r="G55" s="112"/>
      <c r="H55" s="108"/>
      <c r="I55" s="108">
        <f t="shared" si="1"/>
        <v>3314.98</v>
      </c>
      <c r="J55" s="108">
        <f t="shared" si="2"/>
        <v>0</v>
      </c>
      <c r="K55" s="109">
        <f t="shared" si="3"/>
        <v>-1</v>
      </c>
      <c r="L55" s="5">
        <v>6869.0</v>
      </c>
      <c r="M55" s="5">
        <v>6349.5</v>
      </c>
      <c r="N55" s="5">
        <f t="shared" ref="N55:N56" si="7">1-L55/M55</f>
        <v>-0.08181746594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104">
        <v>54.0</v>
      </c>
      <c r="B56" s="110" t="s">
        <v>55</v>
      </c>
      <c r="C56" s="110" t="s">
        <v>74</v>
      </c>
      <c r="D56" s="99" t="s">
        <v>75</v>
      </c>
      <c r="E56" s="105">
        <f>25.54*'使用量'!E57-107.38</f>
        <v>2727.56</v>
      </c>
      <c r="F56" s="105"/>
      <c r="G56" s="112"/>
      <c r="H56" s="108"/>
      <c r="I56" s="108">
        <f t="shared" si="1"/>
        <v>2727.56</v>
      </c>
      <c r="J56" s="108">
        <f t="shared" si="2"/>
        <v>0</v>
      </c>
      <c r="K56" s="109">
        <f t="shared" si="3"/>
        <v>-1</v>
      </c>
      <c r="L56" s="5">
        <v>7314.0</v>
      </c>
      <c r="M56" s="5">
        <v>6494.5</v>
      </c>
      <c r="N56" s="5">
        <f t="shared" si="7"/>
        <v>-0.1261836939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104">
        <v>55.0</v>
      </c>
      <c r="B57" s="110" t="s">
        <v>55</v>
      </c>
      <c r="C57" s="110" t="s">
        <v>76</v>
      </c>
      <c r="D57" s="99" t="s">
        <v>77</v>
      </c>
      <c r="E57" s="105">
        <f>25.54*'使用量'!E58-107.38</f>
        <v>1935.82</v>
      </c>
      <c r="F57" s="105"/>
      <c r="G57" s="112"/>
      <c r="H57" s="108"/>
      <c r="I57" s="108">
        <f t="shared" si="1"/>
        <v>1935.82</v>
      </c>
      <c r="J57" s="108">
        <f t="shared" si="2"/>
        <v>0</v>
      </c>
      <c r="K57" s="109">
        <f t="shared" si="3"/>
        <v>-1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104">
        <v>56.0</v>
      </c>
      <c r="B58" s="110" t="s">
        <v>55</v>
      </c>
      <c r="C58" s="110" t="s">
        <v>78</v>
      </c>
      <c r="D58" s="99" t="s">
        <v>79</v>
      </c>
      <c r="E58" s="105">
        <f>25.54*'使用量'!E59-107.38</f>
        <v>1935.82</v>
      </c>
      <c r="F58" s="105"/>
      <c r="G58" s="112"/>
      <c r="H58" s="108"/>
      <c r="I58" s="108">
        <f t="shared" si="1"/>
        <v>1935.82</v>
      </c>
      <c r="J58" s="108">
        <f t="shared" si="2"/>
        <v>0</v>
      </c>
      <c r="K58" s="109">
        <f t="shared" si="3"/>
        <v>-1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104">
        <v>57.0</v>
      </c>
      <c r="B59" s="110" t="s">
        <v>80</v>
      </c>
      <c r="C59" s="110" t="s">
        <v>56</v>
      </c>
      <c r="D59" s="99" t="s">
        <v>81</v>
      </c>
      <c r="E59" s="105">
        <f>25.54*'使用量'!E60-107.38</f>
        <v>4336.58</v>
      </c>
      <c r="F59" s="105"/>
      <c r="G59" s="112"/>
      <c r="H59" s="108"/>
      <c r="I59" s="108">
        <f t="shared" si="1"/>
        <v>4336.58</v>
      </c>
      <c r="J59" s="108">
        <f t="shared" si="2"/>
        <v>0</v>
      </c>
      <c r="K59" s="109">
        <f t="shared" si="3"/>
        <v>-1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104">
        <v>58.0</v>
      </c>
      <c r="B60" s="110" t="s">
        <v>80</v>
      </c>
      <c r="C60" s="110" t="s">
        <v>58</v>
      </c>
      <c r="D60" s="99" t="s">
        <v>82</v>
      </c>
      <c r="E60" s="105">
        <f>25.54*'使用量'!E61-107.38</f>
        <v>3493.76</v>
      </c>
      <c r="F60" s="105"/>
      <c r="G60" s="112"/>
      <c r="H60" s="108"/>
      <c r="I60" s="108">
        <f t="shared" si="1"/>
        <v>3493.76</v>
      </c>
      <c r="J60" s="108">
        <f t="shared" si="2"/>
        <v>0</v>
      </c>
      <c r="K60" s="109">
        <f t="shared" si="3"/>
        <v>-1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104">
        <v>59.0</v>
      </c>
      <c r="B61" s="110" t="s">
        <v>80</v>
      </c>
      <c r="C61" s="110" t="s">
        <v>60</v>
      </c>
      <c r="D61" s="99" t="s">
        <v>83</v>
      </c>
      <c r="E61" s="105">
        <f>25.54*'使用量'!E62-107.38</f>
        <v>2318.92</v>
      </c>
      <c r="F61" s="105"/>
      <c r="G61" s="112"/>
      <c r="H61" s="108"/>
      <c r="I61" s="108">
        <f t="shared" si="1"/>
        <v>2318.92</v>
      </c>
      <c r="J61" s="108">
        <f t="shared" si="2"/>
        <v>0</v>
      </c>
      <c r="K61" s="109">
        <f t="shared" si="3"/>
        <v>-1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113"/>
      <c r="B62" s="114"/>
      <c r="C62" s="114"/>
      <c r="D62" s="115"/>
      <c r="E62" s="113"/>
      <c r="F62" s="11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2"/>
      <c r="B63" s="1"/>
      <c r="C63" s="1"/>
      <c r="D63" s="51"/>
      <c r="E63" s="2"/>
      <c r="F63" s="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2"/>
      <c r="B64" s="1"/>
      <c r="C64" s="1"/>
      <c r="D64" s="51"/>
      <c r="E64" s="2"/>
      <c r="F64" s="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2"/>
      <c r="B65" s="1"/>
      <c r="C65" s="1"/>
      <c r="D65" s="51"/>
      <c r="E65" s="2"/>
      <c r="F65" s="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2"/>
      <c r="B66" s="1"/>
      <c r="C66" s="1"/>
      <c r="D66" s="51"/>
      <c r="E66" s="2"/>
      <c r="F66" s="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2"/>
      <c r="B67" s="1"/>
      <c r="C67" s="1"/>
      <c r="D67" s="51"/>
      <c r="E67" s="2"/>
      <c r="F67" s="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2"/>
      <c r="B68" s="1"/>
      <c r="C68" s="1"/>
      <c r="D68" s="51"/>
      <c r="E68" s="2"/>
      <c r="F68" s="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2"/>
      <c r="B69" s="1"/>
      <c r="C69" s="1"/>
      <c r="D69" s="51"/>
      <c r="E69" s="2"/>
      <c r="F69" s="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2"/>
      <c r="B70" s="1"/>
      <c r="C70" s="1"/>
      <c r="D70" s="51"/>
      <c r="E70" s="2"/>
      <c r="F70" s="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2"/>
      <c r="B71" s="1"/>
      <c r="C71" s="1"/>
      <c r="D71" s="51"/>
      <c r="E71" s="2"/>
      <c r="F71" s="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2"/>
      <c r="B72" s="1"/>
      <c r="C72" s="1"/>
      <c r="D72" s="51"/>
      <c r="E72" s="2"/>
      <c r="F72" s="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2"/>
      <c r="B73" s="1"/>
      <c r="C73" s="1"/>
      <c r="D73" s="51"/>
      <c r="E73" s="2"/>
      <c r="F73" s="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2"/>
      <c r="B74" s="1"/>
      <c r="C74" s="1"/>
      <c r="D74" s="51"/>
      <c r="E74" s="2"/>
      <c r="F74" s="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2"/>
      <c r="B75" s="1"/>
      <c r="C75" s="1"/>
      <c r="D75" s="51"/>
      <c r="E75" s="2"/>
      <c r="F75" s="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2"/>
      <c r="B76" s="1"/>
      <c r="C76" s="1"/>
      <c r="D76" s="51"/>
      <c r="E76" s="2"/>
      <c r="F76" s="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2"/>
      <c r="B77" s="1"/>
      <c r="C77" s="1"/>
      <c r="D77" s="51"/>
      <c r="E77" s="2"/>
      <c r="F77" s="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2"/>
      <c r="B78" s="1"/>
      <c r="C78" s="1"/>
      <c r="D78" s="51"/>
      <c r="E78" s="2"/>
      <c r="F78" s="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2"/>
      <c r="B79" s="1"/>
      <c r="C79" s="1"/>
      <c r="D79" s="51"/>
      <c r="E79" s="2"/>
      <c r="F79" s="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2"/>
      <c r="B80" s="1"/>
      <c r="C80" s="1"/>
      <c r="D80" s="51"/>
      <c r="E80" s="2"/>
      <c r="F80" s="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2"/>
      <c r="B81" s="1"/>
      <c r="C81" s="1"/>
      <c r="D81" s="51"/>
      <c r="E81" s="2"/>
      <c r="F81" s="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2"/>
      <c r="B82" s="1"/>
      <c r="C82" s="1"/>
      <c r="D82" s="51"/>
      <c r="E82" s="2"/>
      <c r="F82" s="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5"/>
      <c r="C83" s="5"/>
      <c r="D83" s="9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5"/>
      <c r="C84" s="5"/>
      <c r="D84" s="9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5"/>
      <c r="D85" s="9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5"/>
      <c r="C86" s="5"/>
      <c r="D86" s="9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5"/>
      <c r="C87" s="5"/>
      <c r="D87" s="9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5"/>
      <c r="C88" s="5"/>
      <c r="D88" s="9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5"/>
      <c r="D89" s="9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5"/>
      <c r="C90" s="5"/>
      <c r="D90" s="9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5"/>
      <c r="C91" s="5"/>
      <c r="D91" s="9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5"/>
      <c r="C92" s="5"/>
      <c r="D92" s="9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5"/>
      <c r="C93" s="5"/>
      <c r="D93" s="9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5"/>
      <c r="C94" s="5"/>
      <c r="D94" s="9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5"/>
      <c r="C95" s="5"/>
      <c r="D95" s="9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5"/>
      <c r="C96" s="5"/>
      <c r="D96" s="9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5"/>
      <c r="C97" s="5"/>
      <c r="D97" s="9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5"/>
      <c r="C98" s="5"/>
      <c r="D98" s="9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5"/>
      <c r="C99" s="5"/>
      <c r="D99" s="9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5"/>
      <c r="C100" s="5"/>
      <c r="D100" s="9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5"/>
      <c r="C101" s="5"/>
      <c r="D101" s="9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5"/>
      <c r="C102" s="5"/>
      <c r="D102" s="9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5"/>
      <c r="C103" s="5"/>
      <c r="D103" s="9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5"/>
      <c r="C104" s="5"/>
      <c r="D104" s="9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5"/>
      <c r="C105" s="5"/>
      <c r="D105" s="9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5"/>
      <c r="C106" s="5"/>
      <c r="D106" s="9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5"/>
      <c r="C107" s="5"/>
      <c r="D107" s="9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5"/>
      <c r="C108" s="5"/>
      <c r="D108" s="9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5"/>
      <c r="C109" s="5"/>
      <c r="D109" s="9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5"/>
      <c r="C110" s="5"/>
      <c r="D110" s="9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5"/>
      <c r="C111" s="5"/>
      <c r="D111" s="9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5"/>
      <c r="C112" s="5"/>
      <c r="D112" s="9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5"/>
      <c r="C113" s="5"/>
      <c r="D113" s="9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5"/>
      <c r="C114" s="5"/>
      <c r="D114" s="9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5"/>
      <c r="C115" s="5"/>
      <c r="D115" s="9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5"/>
      <c r="C116" s="5"/>
      <c r="D116" s="9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5"/>
      <c r="C117" s="5"/>
      <c r="D117" s="9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5"/>
      <c r="C118" s="5"/>
      <c r="D118" s="9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5"/>
      <c r="C119" s="5"/>
      <c r="D119" s="9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5"/>
      <c r="C120" s="5"/>
      <c r="D120" s="9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5"/>
      <c r="C121" s="5"/>
      <c r="D121" s="9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5"/>
      <c r="C122" s="5"/>
      <c r="D122" s="9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5"/>
      <c r="C123" s="5"/>
      <c r="D123" s="9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5"/>
      <c r="C124" s="5"/>
      <c r="D124" s="9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5"/>
      <c r="C125" s="5"/>
      <c r="D125" s="9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5"/>
      <c r="C126" s="5"/>
      <c r="D126" s="9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5"/>
      <c r="C127" s="5"/>
      <c r="D127" s="9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5"/>
      <c r="C128" s="5"/>
      <c r="D128" s="9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5"/>
      <c r="C129" s="5"/>
      <c r="D129" s="9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5"/>
      <c r="C130" s="5"/>
      <c r="D130" s="9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5"/>
      <c r="C131" s="5"/>
      <c r="D131" s="9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5"/>
      <c r="C132" s="5"/>
      <c r="D132" s="9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5"/>
      <c r="C133" s="5"/>
      <c r="D133" s="9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5"/>
      <c r="C134" s="5"/>
      <c r="D134" s="9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5"/>
      <c r="C135" s="5"/>
      <c r="D135" s="9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5"/>
      <c r="C136" s="5"/>
      <c r="D136" s="9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5"/>
      <c r="C137" s="5"/>
      <c r="D137" s="9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5"/>
      <c r="C138" s="5"/>
      <c r="D138" s="9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5"/>
      <c r="C139" s="5"/>
      <c r="D139" s="9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5"/>
      <c r="C140" s="5"/>
      <c r="D140" s="9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5"/>
      <c r="C141" s="5"/>
      <c r="D141" s="9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5"/>
      <c r="C142" s="5"/>
      <c r="D142" s="9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5"/>
      <c r="C143" s="5"/>
      <c r="D143" s="9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5"/>
      <c r="C144" s="5"/>
      <c r="D144" s="9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5"/>
      <c r="C145" s="5"/>
      <c r="D145" s="9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5"/>
      <c r="C146" s="5"/>
      <c r="D146" s="9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5"/>
      <c r="C147" s="5"/>
      <c r="D147" s="9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5"/>
      <c r="C148" s="5"/>
      <c r="D148" s="9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5"/>
      <c r="C149" s="5"/>
      <c r="D149" s="9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5"/>
      <c r="C150" s="5"/>
      <c r="D150" s="9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5"/>
      <c r="C151" s="5"/>
      <c r="D151" s="9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5"/>
      <c r="C152" s="5"/>
      <c r="D152" s="9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5"/>
      <c r="C153" s="5"/>
      <c r="D153" s="9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5"/>
      <c r="C154" s="5"/>
      <c r="D154" s="9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5"/>
      <c r="C155" s="5"/>
      <c r="D155" s="9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5"/>
      <c r="C156" s="5"/>
      <c r="D156" s="9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5"/>
      <c r="C157" s="5"/>
      <c r="D157" s="9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5"/>
      <c r="C158" s="5"/>
      <c r="D158" s="9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5"/>
      <c r="C159" s="5"/>
      <c r="D159" s="9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5"/>
      <c r="C160" s="5"/>
      <c r="D160" s="9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5"/>
      <c r="C161" s="5"/>
      <c r="D161" s="9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5"/>
      <c r="C162" s="5"/>
      <c r="D162" s="9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5"/>
      <c r="C163" s="5"/>
      <c r="D163" s="9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5"/>
      <c r="C164" s="5"/>
      <c r="D164" s="9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5"/>
      <c r="C165" s="5"/>
      <c r="D165" s="9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5"/>
      <c r="C166" s="5"/>
      <c r="D166" s="9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5"/>
      <c r="C167" s="5"/>
      <c r="D167" s="9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5"/>
      <c r="C168" s="5"/>
      <c r="D168" s="9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5"/>
      <c r="C169" s="5"/>
      <c r="D169" s="9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5"/>
      <c r="C170" s="5"/>
      <c r="D170" s="9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5"/>
      <c r="C171" s="5"/>
      <c r="D171" s="9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5"/>
      <c r="C172" s="5"/>
      <c r="D172" s="9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5"/>
      <c r="C173" s="5"/>
      <c r="D173" s="9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5"/>
      <c r="C174" s="5"/>
      <c r="D174" s="9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5"/>
      <c r="C175" s="5"/>
      <c r="D175" s="9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5"/>
      <c r="C176" s="5"/>
      <c r="D176" s="9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5"/>
      <c r="C177" s="5"/>
      <c r="D177" s="9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5"/>
      <c r="C178" s="5"/>
      <c r="D178" s="9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5"/>
      <c r="C179" s="5"/>
      <c r="D179" s="9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5"/>
      <c r="C180" s="5"/>
      <c r="D180" s="9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5"/>
      <c r="C181" s="5"/>
      <c r="D181" s="9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5"/>
      <c r="C182" s="5"/>
      <c r="D182" s="9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5"/>
      <c r="C183" s="5"/>
      <c r="D183" s="9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5"/>
      <c r="C184" s="5"/>
      <c r="D184" s="9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5"/>
      <c r="C185" s="5"/>
      <c r="D185" s="9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5"/>
      <c r="C186" s="5"/>
      <c r="D186" s="9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5"/>
      <c r="C187" s="5"/>
      <c r="D187" s="9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5"/>
      <c r="C188" s="5"/>
      <c r="D188" s="9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5"/>
      <c r="C189" s="5"/>
      <c r="D189" s="9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5"/>
      <c r="C190" s="5"/>
      <c r="D190" s="9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5"/>
      <c r="C191" s="5"/>
      <c r="D191" s="9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5"/>
      <c r="C192" s="5"/>
      <c r="D192" s="9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5"/>
      <c r="C193" s="5"/>
      <c r="D193" s="9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5"/>
      <c r="C194" s="5"/>
      <c r="D194" s="9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5"/>
      <c r="C195" s="5"/>
      <c r="D195" s="9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5"/>
      <c r="C196" s="5"/>
      <c r="D196" s="9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5"/>
      <c r="C197" s="5"/>
      <c r="D197" s="9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5"/>
      <c r="C198" s="5"/>
      <c r="D198" s="9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5"/>
      <c r="C199" s="5"/>
      <c r="D199" s="9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5"/>
      <c r="C200" s="5"/>
      <c r="D200" s="9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5"/>
      <c r="C201" s="5"/>
      <c r="D201" s="9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5"/>
      <c r="C202" s="5"/>
      <c r="D202" s="9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5"/>
      <c r="C203" s="5"/>
      <c r="D203" s="9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5"/>
      <c r="C204" s="5"/>
      <c r="D204" s="9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5"/>
      <c r="C205" s="5"/>
      <c r="D205" s="9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5"/>
      <c r="C206" s="5"/>
      <c r="D206" s="9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5"/>
      <c r="C207" s="5"/>
      <c r="D207" s="9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5"/>
      <c r="C208" s="5"/>
      <c r="D208" s="9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5"/>
      <c r="C209" s="5"/>
      <c r="D209" s="9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5"/>
      <c r="C210" s="5"/>
      <c r="D210" s="9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5"/>
      <c r="C211" s="5"/>
      <c r="D211" s="9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5"/>
      <c r="C212" s="5"/>
      <c r="D212" s="9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5"/>
      <c r="C213" s="5"/>
      <c r="D213" s="9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5"/>
      <c r="C214" s="5"/>
      <c r="D214" s="9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5"/>
      <c r="C215" s="5"/>
      <c r="D215" s="9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5"/>
      <c r="C216" s="5"/>
      <c r="D216" s="9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5"/>
      <c r="C217" s="5"/>
      <c r="D217" s="9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5"/>
      <c r="C218" s="5"/>
      <c r="D218" s="9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5"/>
      <c r="C219" s="5"/>
      <c r="D219" s="9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5"/>
      <c r="C220" s="5"/>
      <c r="D220" s="9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5"/>
      <c r="C221" s="5"/>
      <c r="D221" s="9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5"/>
      <c r="C222" s="5"/>
      <c r="D222" s="9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5"/>
      <c r="C223" s="5"/>
      <c r="D223" s="9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5"/>
      <c r="C224" s="5"/>
      <c r="D224" s="9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5"/>
      <c r="C225" s="5"/>
      <c r="D225" s="9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5"/>
      <c r="C226" s="5"/>
      <c r="D226" s="9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5"/>
      <c r="C227" s="5"/>
      <c r="D227" s="9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5"/>
      <c r="C228" s="5"/>
      <c r="D228" s="9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5"/>
      <c r="C229" s="5"/>
      <c r="D229" s="9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5"/>
      <c r="C230" s="5"/>
      <c r="D230" s="9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5"/>
      <c r="C231" s="5"/>
      <c r="D231" s="9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5"/>
      <c r="C232" s="5"/>
      <c r="D232" s="9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5"/>
      <c r="C233" s="5"/>
      <c r="D233" s="9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5"/>
      <c r="C234" s="5"/>
      <c r="D234" s="9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5"/>
      <c r="C235" s="5"/>
      <c r="D235" s="9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5"/>
      <c r="C236" s="5"/>
      <c r="D236" s="9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5"/>
      <c r="C237" s="5"/>
      <c r="D237" s="9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5"/>
      <c r="C238" s="5"/>
      <c r="D238" s="9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5"/>
      <c r="C239" s="5"/>
      <c r="D239" s="9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5"/>
      <c r="C240" s="5"/>
      <c r="D240" s="9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5"/>
      <c r="C241" s="5"/>
      <c r="D241" s="9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5"/>
      <c r="C242" s="5"/>
      <c r="D242" s="9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5"/>
      <c r="C243" s="5"/>
      <c r="D243" s="9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5"/>
      <c r="C244" s="5"/>
      <c r="D244" s="9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5"/>
      <c r="C245" s="5"/>
      <c r="D245" s="9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5"/>
      <c r="C246" s="5"/>
      <c r="D246" s="9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5"/>
      <c r="C247" s="5"/>
      <c r="D247" s="9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5"/>
      <c r="C248" s="5"/>
      <c r="D248" s="9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5"/>
      <c r="C249" s="5"/>
      <c r="D249" s="9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5"/>
      <c r="C250" s="5"/>
      <c r="D250" s="9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5"/>
      <c r="C251" s="5"/>
      <c r="D251" s="9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5"/>
      <c r="C252" s="5"/>
      <c r="D252" s="9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5"/>
      <c r="C253" s="5"/>
      <c r="D253" s="9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5"/>
      <c r="C254" s="5"/>
      <c r="D254" s="9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5"/>
      <c r="C255" s="5"/>
      <c r="D255" s="9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5"/>
      <c r="C256" s="5"/>
      <c r="D256" s="9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5"/>
      <c r="C257" s="5"/>
      <c r="D257" s="9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5"/>
      <c r="C258" s="5"/>
      <c r="D258" s="9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5"/>
      <c r="C259" s="5"/>
      <c r="D259" s="9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5"/>
      <c r="C260" s="5"/>
      <c r="D260" s="9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5"/>
      <c r="C261" s="5"/>
      <c r="D261" s="9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5"/>
      <c r="C262" s="5"/>
      <c r="D262" s="9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5"/>
      <c r="C263" s="5"/>
      <c r="D263" s="9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5"/>
      <c r="C264" s="5"/>
      <c r="D264" s="9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5"/>
      <c r="C265" s="5"/>
      <c r="D265" s="9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5"/>
      <c r="C266" s="5"/>
      <c r="D266" s="9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5"/>
      <c r="C267" s="5"/>
      <c r="D267" s="9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5"/>
      <c r="C268" s="5"/>
      <c r="D268" s="9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5"/>
      <c r="C269" s="5"/>
      <c r="D269" s="9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5"/>
      <c r="C270" s="5"/>
      <c r="D270" s="9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5"/>
      <c r="C271" s="5"/>
      <c r="D271" s="9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5"/>
      <c r="C272" s="5"/>
      <c r="D272" s="9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5"/>
      <c r="C273" s="5"/>
      <c r="D273" s="9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5"/>
      <c r="C274" s="5"/>
      <c r="D274" s="9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5"/>
      <c r="C275" s="5"/>
      <c r="D275" s="9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5"/>
      <c r="C276" s="5"/>
      <c r="D276" s="9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5"/>
      <c r="C277" s="5"/>
      <c r="D277" s="9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5"/>
      <c r="C278" s="5"/>
      <c r="D278" s="9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5"/>
      <c r="C279" s="5"/>
      <c r="D279" s="9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5"/>
      <c r="C280" s="5"/>
      <c r="D280" s="9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5"/>
      <c r="C281" s="5"/>
      <c r="D281" s="9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5"/>
      <c r="C282" s="5"/>
      <c r="D282" s="9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5"/>
      <c r="C283" s="5"/>
      <c r="D283" s="9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5"/>
      <c r="C284" s="5"/>
      <c r="D284" s="9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5"/>
      <c r="C285" s="5"/>
      <c r="D285" s="9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5"/>
      <c r="C286" s="5"/>
      <c r="D286" s="9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5"/>
      <c r="C287" s="5"/>
      <c r="D287" s="9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5"/>
      <c r="C288" s="5"/>
      <c r="D288" s="9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5"/>
      <c r="C289" s="5"/>
      <c r="D289" s="9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5"/>
      <c r="C290" s="5"/>
      <c r="D290" s="9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5"/>
      <c r="C291" s="5"/>
      <c r="D291" s="9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5"/>
      <c r="C292" s="5"/>
      <c r="D292" s="9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5"/>
      <c r="C293" s="5"/>
      <c r="D293" s="9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5"/>
      <c r="C294" s="5"/>
      <c r="D294" s="9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5"/>
      <c r="C295" s="5"/>
      <c r="D295" s="9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5"/>
      <c r="C296" s="5"/>
      <c r="D296" s="9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5"/>
      <c r="C297" s="5"/>
      <c r="D297" s="9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5"/>
      <c r="C298" s="5"/>
      <c r="D298" s="9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5"/>
      <c r="C299" s="5"/>
      <c r="D299" s="9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5"/>
      <c r="C300" s="5"/>
      <c r="D300" s="9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5"/>
      <c r="C301" s="5"/>
      <c r="D301" s="9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5"/>
      <c r="C302" s="5"/>
      <c r="D302" s="9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5"/>
      <c r="C303" s="5"/>
      <c r="D303" s="9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5"/>
      <c r="C304" s="5"/>
      <c r="D304" s="9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5"/>
      <c r="C305" s="5"/>
      <c r="D305" s="9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5"/>
      <c r="C306" s="5"/>
      <c r="D306" s="9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5"/>
      <c r="C307" s="5"/>
      <c r="D307" s="9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5"/>
      <c r="C308" s="5"/>
      <c r="D308" s="9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5"/>
      <c r="C309" s="5"/>
      <c r="D309" s="9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5"/>
      <c r="C310" s="5"/>
      <c r="D310" s="9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5"/>
      <c r="C311" s="5"/>
      <c r="D311" s="9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5"/>
      <c r="C312" s="5"/>
      <c r="D312" s="9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5"/>
      <c r="C313" s="5"/>
      <c r="D313" s="9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5"/>
      <c r="C314" s="5"/>
      <c r="D314" s="9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5"/>
      <c r="C315" s="5"/>
      <c r="D315" s="9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5"/>
      <c r="C316" s="5"/>
      <c r="D316" s="9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5"/>
      <c r="C317" s="5"/>
      <c r="D317" s="9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5"/>
      <c r="C318" s="5"/>
      <c r="D318" s="9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5"/>
      <c r="C319" s="5"/>
      <c r="D319" s="9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5"/>
      <c r="C320" s="5"/>
      <c r="D320" s="9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5"/>
      <c r="C321" s="5"/>
      <c r="D321" s="9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5"/>
      <c r="C322" s="5"/>
      <c r="D322" s="9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5"/>
      <c r="C323" s="5"/>
      <c r="D323" s="9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5"/>
      <c r="C324" s="5"/>
      <c r="D324" s="9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5"/>
      <c r="C325" s="5"/>
      <c r="D325" s="9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5"/>
      <c r="C326" s="5"/>
      <c r="D326" s="9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5"/>
      <c r="C327" s="5"/>
      <c r="D327" s="9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5"/>
      <c r="C328" s="5"/>
      <c r="D328" s="9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5"/>
      <c r="C329" s="5"/>
      <c r="D329" s="9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5"/>
      <c r="C330" s="5"/>
      <c r="D330" s="9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5"/>
      <c r="C331" s="5"/>
      <c r="D331" s="9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5"/>
      <c r="C332" s="5"/>
      <c r="D332" s="9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5"/>
      <c r="C333" s="5"/>
      <c r="D333" s="9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5"/>
      <c r="C334" s="5"/>
      <c r="D334" s="9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5"/>
      <c r="C335" s="5"/>
      <c r="D335" s="9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5"/>
      <c r="C336" s="5"/>
      <c r="D336" s="9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5"/>
      <c r="C337" s="5"/>
      <c r="D337" s="9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5"/>
      <c r="C338" s="5"/>
      <c r="D338" s="9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5"/>
      <c r="C339" s="5"/>
      <c r="D339" s="9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5"/>
      <c r="C340" s="5"/>
      <c r="D340" s="9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5"/>
      <c r="C341" s="5"/>
      <c r="D341" s="9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5"/>
      <c r="C342" s="5"/>
      <c r="D342" s="9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5"/>
      <c r="C343" s="5"/>
      <c r="D343" s="9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5"/>
      <c r="C344" s="5"/>
      <c r="D344" s="9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5"/>
      <c r="C345" s="5"/>
      <c r="D345" s="9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5"/>
      <c r="C346" s="5"/>
      <c r="D346" s="9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5"/>
      <c r="C347" s="5"/>
      <c r="D347" s="9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5"/>
      <c r="C348" s="5"/>
      <c r="D348" s="9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5"/>
      <c r="C349" s="5"/>
      <c r="D349" s="9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5"/>
      <c r="C350" s="5"/>
      <c r="D350" s="9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5"/>
      <c r="C351" s="5"/>
      <c r="D351" s="9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5"/>
      <c r="C352" s="5"/>
      <c r="D352" s="9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5"/>
      <c r="C353" s="5"/>
      <c r="D353" s="9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5"/>
      <c r="C354" s="5"/>
      <c r="D354" s="9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5"/>
      <c r="C355" s="5"/>
      <c r="D355" s="9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5"/>
      <c r="C356" s="5"/>
      <c r="D356" s="9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5"/>
      <c r="C357" s="5"/>
      <c r="D357" s="9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5"/>
      <c r="C358" s="5"/>
      <c r="D358" s="9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5"/>
      <c r="C359" s="5"/>
      <c r="D359" s="9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5"/>
      <c r="C360" s="5"/>
      <c r="D360" s="9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5"/>
      <c r="C361" s="5"/>
      <c r="D361" s="9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5"/>
      <c r="C362" s="5"/>
      <c r="D362" s="9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5"/>
      <c r="C363" s="5"/>
      <c r="D363" s="9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5"/>
      <c r="C364" s="5"/>
      <c r="D364" s="9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5"/>
      <c r="C365" s="5"/>
      <c r="D365" s="9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5"/>
      <c r="C366" s="5"/>
      <c r="D366" s="9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5"/>
      <c r="C367" s="5"/>
      <c r="D367" s="9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5"/>
      <c r="C368" s="5"/>
      <c r="D368" s="9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5"/>
      <c r="C369" s="5"/>
      <c r="D369" s="9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5"/>
      <c r="C370" s="5"/>
      <c r="D370" s="9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5"/>
      <c r="C371" s="5"/>
      <c r="D371" s="9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5"/>
      <c r="C372" s="5"/>
      <c r="D372" s="9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5"/>
      <c r="C373" s="5"/>
      <c r="D373" s="9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5"/>
      <c r="C374" s="5"/>
      <c r="D374" s="9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5"/>
      <c r="C375" s="5"/>
      <c r="D375" s="9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5"/>
      <c r="C376" s="5"/>
      <c r="D376" s="9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5"/>
      <c r="C377" s="5"/>
      <c r="D377" s="9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5"/>
      <c r="C378" s="5"/>
      <c r="D378" s="9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5"/>
      <c r="C379" s="5"/>
      <c r="D379" s="9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5"/>
      <c r="C380" s="5"/>
      <c r="D380" s="9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5"/>
      <c r="C381" s="5"/>
      <c r="D381" s="9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5"/>
      <c r="C382" s="5"/>
      <c r="D382" s="9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5"/>
      <c r="C383" s="5"/>
      <c r="D383" s="9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5"/>
      <c r="C384" s="5"/>
      <c r="D384" s="9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5"/>
      <c r="C385" s="5"/>
      <c r="D385" s="9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5"/>
      <c r="C386" s="5"/>
      <c r="D386" s="9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5"/>
      <c r="C387" s="5"/>
      <c r="D387" s="9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5"/>
      <c r="C388" s="5"/>
      <c r="D388" s="9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5"/>
      <c r="C389" s="5"/>
      <c r="D389" s="9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5"/>
      <c r="C390" s="5"/>
      <c r="D390" s="9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5"/>
      <c r="C391" s="5"/>
      <c r="D391" s="9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5"/>
      <c r="C392" s="5"/>
      <c r="D392" s="9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5"/>
      <c r="C393" s="5"/>
      <c r="D393" s="9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5"/>
      <c r="C394" s="5"/>
      <c r="D394" s="9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5"/>
      <c r="C395" s="5"/>
      <c r="D395" s="9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5"/>
      <c r="C396" s="5"/>
      <c r="D396" s="9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5"/>
      <c r="C397" s="5"/>
      <c r="D397" s="9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5"/>
      <c r="C398" s="5"/>
      <c r="D398" s="9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5"/>
      <c r="C399" s="5"/>
      <c r="D399" s="9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5"/>
      <c r="C400" s="5"/>
      <c r="D400" s="9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5"/>
      <c r="C401" s="5"/>
      <c r="D401" s="9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5"/>
      <c r="C402" s="5"/>
      <c r="D402" s="9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5"/>
      <c r="C403" s="5"/>
      <c r="D403" s="9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5"/>
      <c r="C404" s="5"/>
      <c r="D404" s="9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5"/>
      <c r="C405" s="5"/>
      <c r="D405" s="9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5"/>
      <c r="C406" s="5"/>
      <c r="D406" s="9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5"/>
      <c r="C407" s="5"/>
      <c r="D407" s="9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5"/>
      <c r="C408" s="5"/>
      <c r="D408" s="9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5"/>
      <c r="C409" s="5"/>
      <c r="D409" s="9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5"/>
      <c r="C410" s="5"/>
      <c r="D410" s="9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5"/>
      <c r="C411" s="5"/>
      <c r="D411" s="9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5"/>
      <c r="C412" s="5"/>
      <c r="D412" s="9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5"/>
      <c r="C413" s="5"/>
      <c r="D413" s="9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5"/>
      <c r="C414" s="5"/>
      <c r="D414" s="9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5"/>
      <c r="C415" s="5"/>
      <c r="D415" s="9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5"/>
      <c r="C416" s="5"/>
      <c r="D416" s="9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5"/>
      <c r="C417" s="5"/>
      <c r="D417" s="9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5"/>
      <c r="C418" s="5"/>
      <c r="D418" s="9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5"/>
      <c r="C419" s="5"/>
      <c r="D419" s="9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5"/>
      <c r="C420" s="5"/>
      <c r="D420" s="9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5"/>
      <c r="C421" s="5"/>
      <c r="D421" s="9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5"/>
      <c r="C422" s="5"/>
      <c r="D422" s="9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5"/>
      <c r="C423" s="5"/>
      <c r="D423" s="9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5"/>
      <c r="C424" s="5"/>
      <c r="D424" s="9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5"/>
      <c r="C425" s="5"/>
      <c r="D425" s="9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5"/>
      <c r="C426" s="5"/>
      <c r="D426" s="9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5"/>
      <c r="C427" s="5"/>
      <c r="D427" s="9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5"/>
      <c r="C428" s="5"/>
      <c r="D428" s="9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5"/>
      <c r="C429" s="5"/>
      <c r="D429" s="9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5"/>
      <c r="C430" s="5"/>
      <c r="D430" s="9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5"/>
      <c r="C431" s="5"/>
      <c r="D431" s="9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5"/>
      <c r="C432" s="5"/>
      <c r="D432" s="9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5"/>
      <c r="C433" s="5"/>
      <c r="D433" s="9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5"/>
      <c r="C434" s="5"/>
      <c r="D434" s="9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5"/>
      <c r="C435" s="5"/>
      <c r="D435" s="9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5"/>
      <c r="C436" s="5"/>
      <c r="D436" s="9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5"/>
      <c r="C437" s="5"/>
      <c r="D437" s="9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5"/>
      <c r="C438" s="5"/>
      <c r="D438" s="9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5"/>
      <c r="C439" s="5"/>
      <c r="D439" s="9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5"/>
      <c r="C440" s="5"/>
      <c r="D440" s="9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5"/>
      <c r="C441" s="5"/>
      <c r="D441" s="9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5"/>
      <c r="C442" s="5"/>
      <c r="D442" s="9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5"/>
      <c r="C443" s="5"/>
      <c r="D443" s="9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5"/>
      <c r="C444" s="5"/>
      <c r="D444" s="9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5"/>
      <c r="C445" s="5"/>
      <c r="D445" s="9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5"/>
      <c r="C446" s="5"/>
      <c r="D446" s="9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5"/>
      <c r="C447" s="5"/>
      <c r="D447" s="9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5"/>
      <c r="C448" s="5"/>
      <c r="D448" s="9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5"/>
      <c r="C449" s="5"/>
      <c r="D449" s="9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5"/>
      <c r="C450" s="5"/>
      <c r="D450" s="9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5"/>
      <c r="C451" s="5"/>
      <c r="D451" s="9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5"/>
      <c r="C452" s="5"/>
      <c r="D452" s="9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5"/>
      <c r="C453" s="5"/>
      <c r="D453" s="9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5"/>
      <c r="C454" s="5"/>
      <c r="D454" s="9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5"/>
      <c r="C455" s="5"/>
      <c r="D455" s="9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5"/>
      <c r="C456" s="5"/>
      <c r="D456" s="9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5"/>
      <c r="C457" s="5"/>
      <c r="D457" s="9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5"/>
      <c r="C458" s="5"/>
      <c r="D458" s="9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5"/>
      <c r="C459" s="5"/>
      <c r="D459" s="9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5"/>
      <c r="C460" s="5"/>
      <c r="D460" s="9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5"/>
      <c r="C461" s="5"/>
      <c r="D461" s="9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5"/>
      <c r="C462" s="5"/>
      <c r="D462" s="9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5"/>
      <c r="C463" s="5"/>
      <c r="D463" s="9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5"/>
      <c r="C464" s="5"/>
      <c r="D464" s="9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5"/>
      <c r="C465" s="5"/>
      <c r="D465" s="9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5"/>
      <c r="C466" s="5"/>
      <c r="D466" s="9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5"/>
      <c r="C467" s="5"/>
      <c r="D467" s="9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5"/>
      <c r="C468" s="5"/>
      <c r="D468" s="9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5"/>
      <c r="C469" s="5"/>
      <c r="D469" s="9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5"/>
      <c r="C470" s="5"/>
      <c r="D470" s="9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5"/>
      <c r="C471" s="5"/>
      <c r="D471" s="9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5"/>
      <c r="C472" s="5"/>
      <c r="D472" s="9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5"/>
      <c r="C473" s="5"/>
      <c r="D473" s="9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5"/>
      <c r="C474" s="5"/>
      <c r="D474" s="9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5"/>
      <c r="C475" s="5"/>
      <c r="D475" s="9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5"/>
      <c r="C476" s="5"/>
      <c r="D476" s="9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5"/>
      <c r="C477" s="5"/>
      <c r="D477" s="9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5"/>
      <c r="C478" s="5"/>
      <c r="D478" s="9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5"/>
      <c r="C479" s="5"/>
      <c r="D479" s="9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5"/>
      <c r="C480" s="5"/>
      <c r="D480" s="9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5"/>
      <c r="C481" s="5"/>
      <c r="D481" s="9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5"/>
      <c r="C482" s="5"/>
      <c r="D482" s="9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5"/>
      <c r="C483" s="5"/>
      <c r="D483" s="9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5"/>
      <c r="C484" s="5"/>
      <c r="D484" s="9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5"/>
      <c r="C485" s="5"/>
      <c r="D485" s="9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5"/>
      <c r="C486" s="5"/>
      <c r="D486" s="9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5"/>
      <c r="C487" s="5"/>
      <c r="D487" s="9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5"/>
      <c r="C488" s="5"/>
      <c r="D488" s="9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5"/>
      <c r="C489" s="5"/>
      <c r="D489" s="9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5"/>
      <c r="C490" s="5"/>
      <c r="D490" s="9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5"/>
      <c r="C491" s="5"/>
      <c r="D491" s="9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5"/>
      <c r="C492" s="5"/>
      <c r="D492" s="9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5"/>
      <c r="C493" s="5"/>
      <c r="D493" s="9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5"/>
      <c r="C494" s="5"/>
      <c r="D494" s="9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5"/>
      <c r="C495" s="5"/>
      <c r="D495" s="9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5"/>
      <c r="C496" s="5"/>
      <c r="D496" s="9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5"/>
      <c r="C497" s="5"/>
      <c r="D497" s="9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5"/>
      <c r="C498" s="5"/>
      <c r="D498" s="9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5"/>
      <c r="C499" s="5"/>
      <c r="D499" s="9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5"/>
      <c r="C500" s="5"/>
      <c r="D500" s="9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5"/>
      <c r="C501" s="5"/>
      <c r="D501" s="9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5"/>
      <c r="C502" s="5"/>
      <c r="D502" s="9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5"/>
      <c r="C503" s="5"/>
      <c r="D503" s="9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5"/>
      <c r="C504" s="5"/>
      <c r="D504" s="9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5"/>
      <c r="C505" s="5"/>
      <c r="D505" s="9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5"/>
      <c r="C506" s="5"/>
      <c r="D506" s="9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5"/>
      <c r="C507" s="5"/>
      <c r="D507" s="9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5"/>
      <c r="C508" s="5"/>
      <c r="D508" s="9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5"/>
      <c r="C509" s="5"/>
      <c r="D509" s="9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5"/>
      <c r="C510" s="5"/>
      <c r="D510" s="9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5"/>
      <c r="C511" s="5"/>
      <c r="D511" s="9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5"/>
      <c r="C512" s="5"/>
      <c r="D512" s="9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5"/>
      <c r="C513" s="5"/>
      <c r="D513" s="9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5"/>
      <c r="C514" s="5"/>
      <c r="D514" s="9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5"/>
      <c r="C515" s="5"/>
      <c r="D515" s="9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5"/>
      <c r="C516" s="5"/>
      <c r="D516" s="9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5"/>
      <c r="C517" s="5"/>
      <c r="D517" s="9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5"/>
      <c r="C518" s="5"/>
      <c r="D518" s="9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5"/>
      <c r="C519" s="5"/>
      <c r="D519" s="9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5"/>
      <c r="C520" s="5"/>
      <c r="D520" s="9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5"/>
      <c r="C521" s="5"/>
      <c r="D521" s="9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5"/>
      <c r="C522" s="5"/>
      <c r="D522" s="9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5"/>
      <c r="C523" s="5"/>
      <c r="D523" s="9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5"/>
      <c r="C524" s="5"/>
      <c r="D524" s="9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5"/>
      <c r="C525" s="5"/>
      <c r="D525" s="9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5"/>
      <c r="C526" s="5"/>
      <c r="D526" s="9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5"/>
      <c r="C527" s="5"/>
      <c r="D527" s="9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5"/>
      <c r="C528" s="5"/>
      <c r="D528" s="9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5"/>
      <c r="C529" s="5"/>
      <c r="D529" s="9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5"/>
      <c r="C530" s="5"/>
      <c r="D530" s="9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5"/>
      <c r="C531" s="5"/>
      <c r="D531" s="9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5"/>
      <c r="C532" s="5"/>
      <c r="D532" s="9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5"/>
      <c r="C533" s="5"/>
      <c r="D533" s="9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5"/>
      <c r="C534" s="5"/>
      <c r="D534" s="9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5"/>
      <c r="C535" s="5"/>
      <c r="D535" s="9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5"/>
      <c r="C536" s="5"/>
      <c r="D536" s="9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5"/>
      <c r="C537" s="5"/>
      <c r="D537" s="9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5"/>
      <c r="C538" s="5"/>
      <c r="D538" s="9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5"/>
      <c r="C539" s="5"/>
      <c r="D539" s="9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5"/>
      <c r="C540" s="5"/>
      <c r="D540" s="9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5"/>
      <c r="C541" s="5"/>
      <c r="D541" s="9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5"/>
      <c r="C542" s="5"/>
      <c r="D542" s="9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5"/>
      <c r="C543" s="5"/>
      <c r="D543" s="9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5"/>
      <c r="C544" s="5"/>
      <c r="D544" s="9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5"/>
      <c r="C545" s="5"/>
      <c r="D545" s="9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5"/>
      <c r="C546" s="5"/>
      <c r="D546" s="9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5"/>
      <c r="C547" s="5"/>
      <c r="D547" s="9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5"/>
      <c r="C548" s="5"/>
      <c r="D548" s="9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5"/>
      <c r="C549" s="5"/>
      <c r="D549" s="9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5"/>
      <c r="C550" s="5"/>
      <c r="D550" s="9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5"/>
      <c r="C551" s="5"/>
      <c r="D551" s="9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5"/>
      <c r="C552" s="5"/>
      <c r="D552" s="9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5"/>
      <c r="C553" s="5"/>
      <c r="D553" s="9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5"/>
      <c r="C554" s="5"/>
      <c r="D554" s="9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5"/>
      <c r="C555" s="5"/>
      <c r="D555" s="9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5"/>
      <c r="C556" s="5"/>
      <c r="D556" s="9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5"/>
      <c r="C557" s="5"/>
      <c r="D557" s="9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5"/>
      <c r="C558" s="5"/>
      <c r="D558" s="9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5"/>
      <c r="C559" s="5"/>
      <c r="D559" s="9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5"/>
      <c r="C560" s="5"/>
      <c r="D560" s="9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5"/>
      <c r="C561" s="5"/>
      <c r="D561" s="9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5"/>
      <c r="C562" s="5"/>
      <c r="D562" s="9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5"/>
      <c r="C563" s="5"/>
      <c r="D563" s="9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5"/>
      <c r="C564" s="5"/>
      <c r="D564" s="9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5"/>
      <c r="C565" s="5"/>
      <c r="D565" s="9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5"/>
      <c r="C566" s="5"/>
      <c r="D566" s="9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5"/>
      <c r="C567" s="5"/>
      <c r="D567" s="9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5"/>
      <c r="C568" s="5"/>
      <c r="D568" s="9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5"/>
      <c r="C569" s="5"/>
      <c r="D569" s="9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5"/>
      <c r="C570" s="5"/>
      <c r="D570" s="9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5"/>
      <c r="C571" s="5"/>
      <c r="D571" s="9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5"/>
      <c r="C572" s="5"/>
      <c r="D572" s="9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5"/>
      <c r="C573" s="5"/>
      <c r="D573" s="9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5"/>
      <c r="C574" s="5"/>
      <c r="D574" s="9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5"/>
      <c r="C575" s="5"/>
      <c r="D575" s="9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5"/>
      <c r="C576" s="5"/>
      <c r="D576" s="9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5"/>
      <c r="C577" s="5"/>
      <c r="D577" s="9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5"/>
      <c r="C578" s="5"/>
      <c r="D578" s="9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5"/>
      <c r="C579" s="5"/>
      <c r="D579" s="9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5"/>
      <c r="C580" s="5"/>
      <c r="D580" s="9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5"/>
      <c r="C581" s="5"/>
      <c r="D581" s="9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5"/>
      <c r="C582" s="5"/>
      <c r="D582" s="9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5"/>
      <c r="C583" s="5"/>
      <c r="D583" s="9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5"/>
      <c r="C584" s="5"/>
      <c r="D584" s="9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5"/>
      <c r="C585" s="5"/>
      <c r="D585" s="9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5"/>
      <c r="C586" s="5"/>
      <c r="D586" s="9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5"/>
      <c r="C587" s="5"/>
      <c r="D587" s="9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5"/>
      <c r="C588" s="5"/>
      <c r="D588" s="9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5"/>
      <c r="C589" s="5"/>
      <c r="D589" s="9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5"/>
      <c r="C590" s="5"/>
      <c r="D590" s="9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5"/>
      <c r="C591" s="5"/>
      <c r="D591" s="9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5"/>
      <c r="C592" s="5"/>
      <c r="D592" s="9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5"/>
      <c r="C593" s="5"/>
      <c r="D593" s="9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5"/>
      <c r="C594" s="5"/>
      <c r="D594" s="9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5"/>
      <c r="C595" s="5"/>
      <c r="D595" s="9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5"/>
      <c r="C596" s="5"/>
      <c r="D596" s="9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5"/>
      <c r="C597" s="5"/>
      <c r="D597" s="9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5"/>
      <c r="C598" s="5"/>
      <c r="D598" s="9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5"/>
      <c r="C599" s="5"/>
      <c r="D599" s="9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5"/>
      <c r="C600" s="5"/>
      <c r="D600" s="9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5"/>
      <c r="C601" s="5"/>
      <c r="D601" s="9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5"/>
      <c r="C602" s="5"/>
      <c r="D602" s="9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5"/>
      <c r="C603" s="5"/>
      <c r="D603" s="9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5"/>
      <c r="C604" s="5"/>
      <c r="D604" s="9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5"/>
      <c r="C605" s="5"/>
      <c r="D605" s="9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5"/>
      <c r="C606" s="5"/>
      <c r="D606" s="9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5"/>
      <c r="C607" s="5"/>
      <c r="D607" s="9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5"/>
      <c r="C608" s="5"/>
      <c r="D608" s="9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5"/>
      <c r="C609" s="5"/>
      <c r="D609" s="9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5"/>
      <c r="C610" s="5"/>
      <c r="D610" s="9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5"/>
      <c r="C611" s="5"/>
      <c r="D611" s="9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5"/>
      <c r="C612" s="5"/>
      <c r="D612" s="9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5"/>
      <c r="C613" s="5"/>
      <c r="D613" s="9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5"/>
      <c r="C614" s="5"/>
      <c r="D614" s="9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5"/>
      <c r="C615" s="5"/>
      <c r="D615" s="9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5"/>
      <c r="C616" s="5"/>
      <c r="D616" s="9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5"/>
      <c r="C617" s="5"/>
      <c r="D617" s="9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5"/>
      <c r="C618" s="5"/>
      <c r="D618" s="9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5"/>
      <c r="C619" s="5"/>
      <c r="D619" s="9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5"/>
      <c r="C620" s="5"/>
      <c r="D620" s="9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5"/>
      <c r="C621" s="5"/>
      <c r="D621" s="9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5"/>
      <c r="C622" s="5"/>
      <c r="D622" s="9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5"/>
      <c r="C623" s="5"/>
      <c r="D623" s="9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5"/>
      <c r="C624" s="5"/>
      <c r="D624" s="9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5"/>
      <c r="C625" s="5"/>
      <c r="D625" s="9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5"/>
      <c r="C626" s="5"/>
      <c r="D626" s="9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5"/>
      <c r="C627" s="5"/>
      <c r="D627" s="9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5"/>
      <c r="C628" s="5"/>
      <c r="D628" s="9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5"/>
      <c r="C629" s="5"/>
      <c r="D629" s="9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5"/>
      <c r="C630" s="5"/>
      <c r="D630" s="9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5"/>
      <c r="C631" s="5"/>
      <c r="D631" s="9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5"/>
      <c r="C632" s="5"/>
      <c r="D632" s="9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5"/>
      <c r="C633" s="5"/>
      <c r="D633" s="9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5"/>
      <c r="C634" s="5"/>
      <c r="D634" s="9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5"/>
      <c r="C635" s="5"/>
      <c r="D635" s="9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5"/>
      <c r="C636" s="5"/>
      <c r="D636" s="9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5"/>
      <c r="C637" s="5"/>
      <c r="D637" s="9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5"/>
      <c r="C638" s="5"/>
      <c r="D638" s="9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5"/>
      <c r="C639" s="5"/>
      <c r="D639" s="9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5"/>
      <c r="C640" s="5"/>
      <c r="D640" s="9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5"/>
      <c r="C641" s="5"/>
      <c r="D641" s="9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5"/>
      <c r="C642" s="5"/>
      <c r="D642" s="9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5"/>
      <c r="C643" s="5"/>
      <c r="D643" s="9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5"/>
      <c r="C644" s="5"/>
      <c r="D644" s="9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5"/>
      <c r="C645" s="5"/>
      <c r="D645" s="9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5"/>
      <c r="C646" s="5"/>
      <c r="D646" s="9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5"/>
      <c r="C647" s="5"/>
      <c r="D647" s="9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5"/>
      <c r="C648" s="5"/>
      <c r="D648" s="9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5"/>
      <c r="C649" s="5"/>
      <c r="D649" s="9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5"/>
      <c r="C650" s="5"/>
      <c r="D650" s="9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5"/>
      <c r="C651" s="5"/>
      <c r="D651" s="9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5"/>
      <c r="C652" s="5"/>
      <c r="D652" s="9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5"/>
      <c r="C653" s="5"/>
      <c r="D653" s="9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5"/>
      <c r="C654" s="5"/>
      <c r="D654" s="9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5"/>
      <c r="C655" s="5"/>
      <c r="D655" s="9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5"/>
      <c r="C656" s="5"/>
      <c r="D656" s="9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5"/>
      <c r="C657" s="5"/>
      <c r="D657" s="9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5"/>
      <c r="C658" s="5"/>
      <c r="D658" s="9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5"/>
      <c r="C659" s="5"/>
      <c r="D659" s="9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5"/>
      <c r="C660" s="5"/>
      <c r="D660" s="9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5"/>
      <c r="C661" s="5"/>
      <c r="D661" s="9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5"/>
      <c r="C662" s="5"/>
      <c r="D662" s="9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5"/>
      <c r="C663" s="5"/>
      <c r="D663" s="9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5"/>
      <c r="C664" s="5"/>
      <c r="D664" s="9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5"/>
      <c r="C665" s="5"/>
      <c r="D665" s="9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5"/>
      <c r="C666" s="5"/>
      <c r="D666" s="9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5"/>
      <c r="C667" s="5"/>
      <c r="D667" s="9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5"/>
      <c r="C668" s="5"/>
      <c r="D668" s="9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5"/>
      <c r="C669" s="5"/>
      <c r="D669" s="9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5"/>
      <c r="C670" s="5"/>
      <c r="D670" s="9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5"/>
      <c r="C671" s="5"/>
      <c r="D671" s="9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5"/>
      <c r="C672" s="5"/>
      <c r="D672" s="9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5"/>
      <c r="C673" s="5"/>
      <c r="D673" s="9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5"/>
      <c r="C674" s="5"/>
      <c r="D674" s="9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5"/>
      <c r="C675" s="5"/>
      <c r="D675" s="9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5"/>
      <c r="C676" s="5"/>
      <c r="D676" s="9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5"/>
      <c r="C677" s="5"/>
      <c r="D677" s="9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5"/>
      <c r="C678" s="5"/>
      <c r="D678" s="9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5"/>
      <c r="C679" s="5"/>
      <c r="D679" s="9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5"/>
      <c r="C680" s="5"/>
      <c r="D680" s="9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5"/>
      <c r="C681" s="5"/>
      <c r="D681" s="9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5"/>
      <c r="C682" s="5"/>
      <c r="D682" s="9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5"/>
      <c r="C683" s="5"/>
      <c r="D683" s="9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5"/>
      <c r="C684" s="5"/>
      <c r="D684" s="9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5"/>
      <c r="C685" s="5"/>
      <c r="D685" s="9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5"/>
      <c r="C686" s="5"/>
      <c r="D686" s="9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5"/>
      <c r="C687" s="5"/>
      <c r="D687" s="9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5"/>
      <c r="C688" s="5"/>
      <c r="D688" s="9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5"/>
      <c r="C689" s="5"/>
      <c r="D689" s="9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5"/>
      <c r="C690" s="5"/>
      <c r="D690" s="9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5"/>
      <c r="C691" s="5"/>
      <c r="D691" s="9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5"/>
      <c r="C692" s="5"/>
      <c r="D692" s="9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5"/>
      <c r="C693" s="5"/>
      <c r="D693" s="9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5"/>
      <c r="C694" s="5"/>
      <c r="D694" s="9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5"/>
      <c r="C695" s="5"/>
      <c r="D695" s="9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5"/>
      <c r="C696" s="5"/>
      <c r="D696" s="9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5"/>
      <c r="C697" s="5"/>
      <c r="D697" s="9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5"/>
      <c r="C698" s="5"/>
      <c r="D698" s="9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5"/>
      <c r="C699" s="5"/>
      <c r="D699" s="9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5"/>
      <c r="C700" s="5"/>
      <c r="D700" s="9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5"/>
      <c r="C701" s="5"/>
      <c r="D701" s="9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5"/>
      <c r="C702" s="5"/>
      <c r="D702" s="9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5"/>
      <c r="C703" s="5"/>
      <c r="D703" s="9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5"/>
      <c r="C704" s="5"/>
      <c r="D704" s="9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5"/>
      <c r="C705" s="5"/>
      <c r="D705" s="9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5"/>
      <c r="C706" s="5"/>
      <c r="D706" s="9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5"/>
      <c r="C707" s="5"/>
      <c r="D707" s="9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5"/>
      <c r="C708" s="5"/>
      <c r="D708" s="9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5"/>
      <c r="C709" s="5"/>
      <c r="D709" s="9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5"/>
      <c r="C710" s="5"/>
      <c r="D710" s="9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5"/>
      <c r="C711" s="5"/>
      <c r="D711" s="9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5"/>
      <c r="C712" s="5"/>
      <c r="D712" s="9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5"/>
      <c r="C713" s="5"/>
      <c r="D713" s="9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5"/>
      <c r="C714" s="5"/>
      <c r="D714" s="9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5"/>
      <c r="C715" s="5"/>
      <c r="D715" s="9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5"/>
      <c r="C716" s="5"/>
      <c r="D716" s="9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5"/>
      <c r="C717" s="5"/>
      <c r="D717" s="9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5"/>
      <c r="C718" s="5"/>
      <c r="D718" s="9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5"/>
      <c r="C719" s="5"/>
      <c r="D719" s="9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5"/>
      <c r="C720" s="5"/>
      <c r="D720" s="9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5"/>
      <c r="C721" s="5"/>
      <c r="D721" s="9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5"/>
      <c r="C722" s="5"/>
      <c r="D722" s="9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5"/>
      <c r="C723" s="5"/>
      <c r="D723" s="9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5"/>
      <c r="C724" s="5"/>
      <c r="D724" s="9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5"/>
      <c r="C725" s="5"/>
      <c r="D725" s="9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5"/>
      <c r="C726" s="5"/>
      <c r="D726" s="9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5"/>
      <c r="C727" s="5"/>
      <c r="D727" s="9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5"/>
      <c r="C728" s="5"/>
      <c r="D728" s="9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5"/>
      <c r="C729" s="5"/>
      <c r="D729" s="9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5"/>
      <c r="C730" s="5"/>
      <c r="D730" s="9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5"/>
      <c r="C731" s="5"/>
      <c r="D731" s="9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5"/>
      <c r="C732" s="5"/>
      <c r="D732" s="9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5"/>
      <c r="C733" s="5"/>
      <c r="D733" s="9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5"/>
      <c r="C734" s="5"/>
      <c r="D734" s="9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5"/>
      <c r="C735" s="5"/>
      <c r="D735" s="9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5"/>
      <c r="C736" s="5"/>
      <c r="D736" s="9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5"/>
      <c r="C737" s="5"/>
      <c r="D737" s="9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5"/>
      <c r="C738" s="5"/>
      <c r="D738" s="9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5"/>
      <c r="C739" s="5"/>
      <c r="D739" s="9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5"/>
      <c r="C740" s="5"/>
      <c r="D740" s="9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5"/>
      <c r="C741" s="5"/>
      <c r="D741" s="9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5"/>
      <c r="C742" s="5"/>
      <c r="D742" s="9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5"/>
      <c r="C743" s="5"/>
      <c r="D743" s="9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5"/>
      <c r="C744" s="5"/>
      <c r="D744" s="9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5"/>
      <c r="C745" s="5"/>
      <c r="D745" s="9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5"/>
      <c r="C746" s="5"/>
      <c r="D746" s="9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5"/>
      <c r="C747" s="5"/>
      <c r="D747" s="9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5"/>
      <c r="C748" s="5"/>
      <c r="D748" s="9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5"/>
      <c r="C749" s="5"/>
      <c r="D749" s="9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5"/>
      <c r="C750" s="5"/>
      <c r="D750" s="9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5"/>
      <c r="C751" s="5"/>
      <c r="D751" s="9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5"/>
      <c r="C752" s="5"/>
      <c r="D752" s="9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5"/>
      <c r="C753" s="5"/>
      <c r="D753" s="9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5"/>
      <c r="C754" s="5"/>
      <c r="D754" s="9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5"/>
      <c r="C755" s="5"/>
      <c r="D755" s="9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5"/>
      <c r="C756" s="5"/>
      <c r="D756" s="9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5"/>
      <c r="C757" s="5"/>
      <c r="D757" s="9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5"/>
      <c r="C758" s="5"/>
      <c r="D758" s="9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5"/>
      <c r="C759" s="5"/>
      <c r="D759" s="9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5"/>
      <c r="C760" s="5"/>
      <c r="D760" s="9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5"/>
      <c r="C761" s="5"/>
      <c r="D761" s="9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5"/>
      <c r="C762" s="5"/>
      <c r="D762" s="9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5"/>
      <c r="C763" s="5"/>
      <c r="D763" s="9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5"/>
      <c r="C764" s="5"/>
      <c r="D764" s="9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5"/>
      <c r="C765" s="5"/>
      <c r="D765" s="9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5"/>
      <c r="C766" s="5"/>
      <c r="D766" s="9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5"/>
      <c r="C767" s="5"/>
      <c r="D767" s="9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5"/>
      <c r="C768" s="5"/>
      <c r="D768" s="9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5"/>
      <c r="C769" s="5"/>
      <c r="D769" s="9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5"/>
      <c r="C770" s="5"/>
      <c r="D770" s="9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5"/>
      <c r="C771" s="5"/>
      <c r="D771" s="9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5"/>
      <c r="C772" s="5"/>
      <c r="D772" s="9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5"/>
      <c r="C773" s="5"/>
      <c r="D773" s="9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5"/>
      <c r="C774" s="5"/>
      <c r="D774" s="9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5"/>
      <c r="C775" s="5"/>
      <c r="D775" s="9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5"/>
      <c r="C776" s="5"/>
      <c r="D776" s="9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5"/>
      <c r="C777" s="5"/>
      <c r="D777" s="9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5"/>
      <c r="C778" s="5"/>
      <c r="D778" s="9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5"/>
      <c r="C779" s="5"/>
      <c r="D779" s="9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5"/>
      <c r="C780" s="5"/>
      <c r="D780" s="9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5"/>
      <c r="C781" s="5"/>
      <c r="D781" s="9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5"/>
      <c r="C782" s="5"/>
      <c r="D782" s="9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5"/>
      <c r="C783" s="5"/>
      <c r="D783" s="9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5"/>
      <c r="C784" s="5"/>
      <c r="D784" s="9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5"/>
      <c r="C785" s="5"/>
      <c r="D785" s="9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5"/>
      <c r="C786" s="5"/>
      <c r="D786" s="9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5"/>
      <c r="C787" s="5"/>
      <c r="D787" s="9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5"/>
      <c r="C788" s="5"/>
      <c r="D788" s="9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5"/>
      <c r="C789" s="5"/>
      <c r="D789" s="9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5"/>
      <c r="C790" s="5"/>
      <c r="D790" s="9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5"/>
      <c r="C791" s="5"/>
      <c r="D791" s="9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5"/>
      <c r="C792" s="5"/>
      <c r="D792" s="9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5"/>
      <c r="C793" s="5"/>
      <c r="D793" s="9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5"/>
      <c r="C794" s="5"/>
      <c r="D794" s="9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5"/>
      <c r="C795" s="5"/>
      <c r="D795" s="9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5"/>
      <c r="C796" s="5"/>
      <c r="D796" s="9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5"/>
      <c r="C797" s="5"/>
      <c r="D797" s="9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5"/>
      <c r="C798" s="5"/>
      <c r="D798" s="9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5"/>
      <c r="C799" s="5"/>
      <c r="D799" s="9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5"/>
      <c r="C800" s="5"/>
      <c r="D800" s="9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5"/>
      <c r="C801" s="5"/>
      <c r="D801" s="9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5"/>
      <c r="C802" s="5"/>
      <c r="D802" s="9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5"/>
      <c r="C803" s="5"/>
      <c r="D803" s="9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5"/>
      <c r="C804" s="5"/>
      <c r="D804" s="9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5"/>
      <c r="C805" s="5"/>
      <c r="D805" s="9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5"/>
      <c r="C806" s="5"/>
      <c r="D806" s="9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5"/>
      <c r="C807" s="5"/>
      <c r="D807" s="9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5"/>
      <c r="C808" s="5"/>
      <c r="D808" s="9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5"/>
      <c r="C809" s="5"/>
      <c r="D809" s="9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5"/>
      <c r="C810" s="5"/>
      <c r="D810" s="9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5"/>
      <c r="C811" s="5"/>
      <c r="D811" s="9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5"/>
      <c r="C812" s="5"/>
      <c r="D812" s="9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5"/>
      <c r="C813" s="5"/>
      <c r="D813" s="9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5"/>
      <c r="C814" s="5"/>
      <c r="D814" s="9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5"/>
      <c r="C815" s="5"/>
      <c r="D815" s="9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5"/>
      <c r="C816" s="5"/>
      <c r="D816" s="9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5"/>
      <c r="C817" s="5"/>
      <c r="D817" s="9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5"/>
      <c r="C818" s="5"/>
      <c r="D818" s="9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5"/>
      <c r="C819" s="5"/>
      <c r="D819" s="9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5"/>
      <c r="C820" s="5"/>
      <c r="D820" s="9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5"/>
      <c r="C821" s="5"/>
      <c r="D821" s="9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5"/>
      <c r="C822" s="5"/>
      <c r="D822" s="9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5"/>
      <c r="C823" s="5"/>
      <c r="D823" s="9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5"/>
      <c r="C824" s="5"/>
      <c r="D824" s="9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5"/>
      <c r="C825" s="5"/>
      <c r="D825" s="9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5"/>
      <c r="C826" s="5"/>
      <c r="D826" s="9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5"/>
      <c r="C827" s="5"/>
      <c r="D827" s="9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5"/>
      <c r="C828" s="5"/>
      <c r="D828" s="9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5"/>
      <c r="C829" s="5"/>
      <c r="D829" s="9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5"/>
      <c r="C830" s="5"/>
      <c r="D830" s="9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5"/>
      <c r="C831" s="5"/>
      <c r="D831" s="9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5"/>
      <c r="C832" s="5"/>
      <c r="D832" s="9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5"/>
      <c r="C833" s="5"/>
      <c r="D833" s="9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5"/>
      <c r="C834" s="5"/>
      <c r="D834" s="9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5"/>
      <c r="C835" s="5"/>
      <c r="D835" s="9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5"/>
      <c r="C836" s="5"/>
      <c r="D836" s="9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5"/>
      <c r="C837" s="5"/>
      <c r="D837" s="9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5"/>
      <c r="C838" s="5"/>
      <c r="D838" s="9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5"/>
      <c r="C839" s="5"/>
      <c r="D839" s="9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5"/>
      <c r="C840" s="5"/>
      <c r="D840" s="9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5"/>
      <c r="C841" s="5"/>
      <c r="D841" s="9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5"/>
      <c r="C842" s="5"/>
      <c r="D842" s="9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5"/>
      <c r="C843" s="5"/>
      <c r="D843" s="9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5"/>
      <c r="C844" s="5"/>
      <c r="D844" s="9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5"/>
      <c r="C845" s="5"/>
      <c r="D845" s="9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5"/>
      <c r="C846" s="5"/>
      <c r="D846" s="9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5"/>
      <c r="C847" s="5"/>
      <c r="D847" s="9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5"/>
      <c r="C848" s="5"/>
      <c r="D848" s="9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5"/>
      <c r="C849" s="5"/>
      <c r="D849" s="9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5"/>
      <c r="C850" s="5"/>
      <c r="D850" s="9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5"/>
      <c r="C851" s="5"/>
      <c r="D851" s="9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5"/>
      <c r="C852" s="5"/>
      <c r="D852" s="9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5"/>
      <c r="C853" s="5"/>
      <c r="D853" s="9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5"/>
      <c r="C854" s="5"/>
      <c r="D854" s="9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5"/>
      <c r="C855" s="5"/>
      <c r="D855" s="9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5"/>
      <c r="C856" s="5"/>
      <c r="D856" s="9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5"/>
      <c r="C857" s="5"/>
      <c r="D857" s="9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5"/>
      <c r="C858" s="5"/>
      <c r="D858" s="9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5"/>
      <c r="C859" s="5"/>
      <c r="D859" s="9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5"/>
      <c r="C860" s="5"/>
      <c r="D860" s="9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5"/>
      <c r="C861" s="5"/>
      <c r="D861" s="9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5"/>
      <c r="C862" s="5"/>
      <c r="D862" s="9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5"/>
      <c r="C863" s="5"/>
      <c r="D863" s="9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5"/>
      <c r="C864" s="5"/>
      <c r="D864" s="9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5"/>
      <c r="C865" s="5"/>
      <c r="D865" s="9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5"/>
      <c r="C866" s="5"/>
      <c r="D866" s="9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5"/>
      <c r="C867" s="5"/>
      <c r="D867" s="9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5"/>
      <c r="C868" s="5"/>
      <c r="D868" s="9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5"/>
      <c r="C869" s="5"/>
      <c r="D869" s="9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5"/>
      <c r="C870" s="5"/>
      <c r="D870" s="9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5"/>
      <c r="C871" s="5"/>
      <c r="D871" s="9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5"/>
      <c r="C872" s="5"/>
      <c r="D872" s="9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5"/>
      <c r="C873" s="5"/>
      <c r="D873" s="9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5"/>
      <c r="C874" s="5"/>
      <c r="D874" s="9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5"/>
      <c r="C875" s="5"/>
      <c r="D875" s="9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5"/>
      <c r="C876" s="5"/>
      <c r="D876" s="9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5"/>
      <c r="C877" s="5"/>
      <c r="D877" s="9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5"/>
      <c r="C878" s="5"/>
      <c r="D878" s="9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5"/>
      <c r="C879" s="5"/>
      <c r="D879" s="9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5"/>
      <c r="C880" s="5"/>
      <c r="D880" s="9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5"/>
      <c r="C881" s="5"/>
      <c r="D881" s="9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5"/>
      <c r="C882" s="5"/>
      <c r="D882" s="9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5"/>
      <c r="C883" s="5"/>
      <c r="D883" s="9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5"/>
      <c r="C884" s="5"/>
      <c r="D884" s="9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5"/>
      <c r="C885" s="5"/>
      <c r="D885" s="9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5"/>
      <c r="C886" s="5"/>
      <c r="D886" s="9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5"/>
      <c r="C887" s="5"/>
      <c r="D887" s="9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5"/>
      <c r="C888" s="5"/>
      <c r="D888" s="9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5"/>
      <c r="C889" s="5"/>
      <c r="D889" s="9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5"/>
      <c r="C890" s="5"/>
      <c r="D890" s="9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5"/>
      <c r="C891" s="5"/>
      <c r="D891" s="9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5"/>
      <c r="C892" s="5"/>
      <c r="D892" s="9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5"/>
      <c r="C893" s="5"/>
      <c r="D893" s="9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5"/>
      <c r="C894" s="5"/>
      <c r="D894" s="9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5"/>
      <c r="C895" s="5"/>
      <c r="D895" s="9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5"/>
      <c r="C896" s="5"/>
      <c r="D896" s="9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5"/>
      <c r="C897" s="5"/>
      <c r="D897" s="9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5"/>
      <c r="C898" s="5"/>
      <c r="D898" s="9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5"/>
      <c r="C899" s="5"/>
      <c r="D899" s="9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5"/>
      <c r="C900" s="5"/>
      <c r="D900" s="9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5"/>
      <c r="C901" s="5"/>
      <c r="D901" s="9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5"/>
      <c r="C902" s="5"/>
      <c r="D902" s="9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5"/>
      <c r="C903" s="5"/>
      <c r="D903" s="9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5"/>
      <c r="C904" s="5"/>
      <c r="D904" s="9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5"/>
      <c r="C905" s="5"/>
      <c r="D905" s="9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5"/>
      <c r="C906" s="5"/>
      <c r="D906" s="9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5"/>
      <c r="C907" s="5"/>
      <c r="D907" s="9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5"/>
      <c r="C908" s="5"/>
      <c r="D908" s="9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5"/>
      <c r="C909" s="5"/>
      <c r="D909" s="9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5"/>
      <c r="C910" s="5"/>
      <c r="D910" s="9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5"/>
      <c r="C911" s="5"/>
      <c r="D911" s="9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5"/>
      <c r="C912" s="5"/>
      <c r="D912" s="9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5"/>
      <c r="C913" s="5"/>
      <c r="D913" s="9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5"/>
      <c r="C914" s="5"/>
      <c r="D914" s="9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5"/>
      <c r="C915" s="5"/>
      <c r="D915" s="9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5"/>
      <c r="C916" s="5"/>
      <c r="D916" s="9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5"/>
      <c r="C917" s="5"/>
      <c r="D917" s="9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5"/>
      <c r="C918" s="5"/>
      <c r="D918" s="9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5"/>
      <c r="C919" s="5"/>
      <c r="D919" s="9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5"/>
      <c r="C920" s="5"/>
      <c r="D920" s="9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5"/>
      <c r="C921" s="5"/>
      <c r="D921" s="9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5"/>
      <c r="C922" s="5"/>
      <c r="D922" s="9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5"/>
      <c r="C923" s="5"/>
      <c r="D923" s="9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5"/>
      <c r="C924" s="5"/>
      <c r="D924" s="9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5"/>
      <c r="C925" s="5"/>
      <c r="D925" s="9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5"/>
      <c r="C926" s="5"/>
      <c r="D926" s="9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5"/>
      <c r="C927" s="5"/>
      <c r="D927" s="9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5"/>
      <c r="C928" s="5"/>
      <c r="D928" s="9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5"/>
      <c r="C929" s="5"/>
      <c r="D929" s="9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5"/>
      <c r="C930" s="5"/>
      <c r="D930" s="9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5"/>
      <c r="C931" s="5"/>
      <c r="D931" s="9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5"/>
      <c r="C932" s="5"/>
      <c r="D932" s="9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5"/>
      <c r="C933" s="5"/>
      <c r="D933" s="9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5"/>
      <c r="C934" s="5"/>
      <c r="D934" s="9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5"/>
      <c r="C935" s="5"/>
      <c r="D935" s="9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5"/>
      <c r="C936" s="5"/>
      <c r="D936" s="9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5"/>
      <c r="C937" s="5"/>
      <c r="D937" s="9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5"/>
      <c r="C938" s="5"/>
      <c r="D938" s="9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5"/>
      <c r="C939" s="5"/>
      <c r="D939" s="9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5"/>
      <c r="C940" s="5"/>
      <c r="D940" s="9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5"/>
      <c r="C941" s="5"/>
      <c r="D941" s="9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5"/>
      <c r="C942" s="5"/>
      <c r="D942" s="9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5"/>
      <c r="C943" s="5"/>
      <c r="D943" s="9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5"/>
      <c r="C944" s="5"/>
      <c r="D944" s="9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5"/>
      <c r="C945" s="5"/>
      <c r="D945" s="9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5"/>
      <c r="C946" s="5"/>
      <c r="D946" s="9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5"/>
      <c r="C947" s="5"/>
      <c r="D947" s="9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5"/>
      <c r="C948" s="5"/>
      <c r="D948" s="9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5"/>
      <c r="C949" s="5"/>
      <c r="D949" s="9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5"/>
      <c r="C950" s="5"/>
      <c r="D950" s="9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5"/>
      <c r="C951" s="5"/>
      <c r="D951" s="9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5"/>
      <c r="C952" s="5"/>
      <c r="D952" s="9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5"/>
      <c r="C953" s="5"/>
      <c r="D953" s="9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5"/>
      <c r="C954" s="5"/>
      <c r="D954" s="9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5"/>
      <c r="C955" s="5"/>
      <c r="D955" s="9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5"/>
      <c r="C956" s="5"/>
      <c r="D956" s="9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5"/>
      <c r="C957" s="5"/>
      <c r="D957" s="9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5"/>
      <c r="C958" s="5"/>
      <c r="D958" s="9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5"/>
      <c r="C959" s="5"/>
      <c r="D959" s="9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5"/>
      <c r="C960" s="5"/>
      <c r="D960" s="9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5"/>
      <c r="C961" s="5"/>
      <c r="D961" s="9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5"/>
      <c r="C962" s="5"/>
      <c r="D962" s="9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5"/>
      <c r="C963" s="5"/>
      <c r="D963" s="9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5"/>
      <c r="C964" s="5"/>
      <c r="D964" s="9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5"/>
      <c r="C965" s="5"/>
      <c r="D965" s="9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5"/>
      <c r="C966" s="5"/>
      <c r="D966" s="9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5"/>
      <c r="C967" s="5"/>
      <c r="D967" s="9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5"/>
      <c r="C968" s="5"/>
      <c r="D968" s="9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5"/>
      <c r="C969" s="5"/>
      <c r="D969" s="9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5"/>
      <c r="C970" s="5"/>
      <c r="D970" s="9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5"/>
      <c r="C971" s="5"/>
      <c r="D971" s="9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5"/>
      <c r="C972" s="5"/>
      <c r="D972" s="9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5"/>
      <c r="C973" s="5"/>
      <c r="D973" s="9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5"/>
      <c r="C974" s="5"/>
      <c r="D974" s="9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5"/>
      <c r="C975" s="5"/>
      <c r="D975" s="9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5"/>
      <c r="C976" s="5"/>
      <c r="D976" s="9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5"/>
      <c r="C977" s="5"/>
      <c r="D977" s="9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5"/>
      <c r="C978" s="5"/>
      <c r="D978" s="9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5"/>
      <c r="C979" s="5"/>
      <c r="D979" s="9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5"/>
      <c r="C980" s="5"/>
      <c r="D980" s="9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5"/>
      <c r="C981" s="5"/>
      <c r="D981" s="9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5"/>
      <c r="C982" s="5"/>
      <c r="D982" s="9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5"/>
      <c r="C983" s="5"/>
      <c r="D983" s="9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5"/>
      <c r="C984" s="5"/>
      <c r="D984" s="9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5"/>
      <c r="C985" s="5"/>
      <c r="D985" s="9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5"/>
      <c r="C986" s="5"/>
      <c r="D986" s="9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5"/>
      <c r="C987" s="5"/>
      <c r="D987" s="9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5"/>
      <c r="C988" s="5"/>
      <c r="D988" s="9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5"/>
      <c r="C989" s="5"/>
      <c r="D989" s="9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5"/>
      <c r="C990" s="5"/>
      <c r="D990" s="9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5"/>
      <c r="C991" s="5"/>
      <c r="D991" s="9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5"/>
      <c r="C992" s="5"/>
      <c r="D992" s="9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5"/>
      <c r="C993" s="5"/>
      <c r="D993" s="9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5"/>
      <c r="C994" s="5"/>
      <c r="D994" s="9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5"/>
      <c r="C995" s="5"/>
      <c r="D995" s="9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5"/>
      <c r="C996" s="5"/>
      <c r="D996" s="9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5"/>
      <c r="C997" s="5"/>
      <c r="D997" s="9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5"/>
      <c r="C998" s="5"/>
      <c r="D998" s="9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5"/>
      <c r="C999" s="5"/>
      <c r="D999" s="9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5"/>
      <c r="C1000" s="5"/>
      <c r="D1000" s="9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4" width="20.5"/>
    <col customWidth="1" min="5" max="26" width="7.63"/>
  </cols>
  <sheetData>
    <row r="1" ht="18.75" customHeight="1">
      <c r="A1" s="116" t="s">
        <v>161</v>
      </c>
    </row>
    <row r="2" ht="18.75" customHeight="1">
      <c r="A2" s="117"/>
      <c r="B2" s="5" t="s">
        <v>162</v>
      </c>
      <c r="C2" s="118" t="s">
        <v>163</v>
      </c>
      <c r="D2" s="118" t="s">
        <v>164</v>
      </c>
    </row>
    <row r="3" ht="18.75" customHeight="1">
      <c r="A3" s="118">
        <v>1952.0</v>
      </c>
      <c r="B3" s="119">
        <v>1640.6</v>
      </c>
      <c r="C3" s="118"/>
      <c r="D3" s="118">
        <v>14.6</v>
      </c>
    </row>
    <row r="4" ht="18.75" customHeight="1">
      <c r="A4" s="118">
        <v>1953.0</v>
      </c>
      <c r="B4" s="119">
        <v>1519.4</v>
      </c>
      <c r="C4" s="118"/>
      <c r="D4" s="118">
        <v>14.6</v>
      </c>
    </row>
    <row r="5" ht="18.75" customHeight="1">
      <c r="A5" s="118">
        <v>1954.0</v>
      </c>
      <c r="B5" s="119">
        <v>1770.7</v>
      </c>
      <c r="C5" s="118"/>
      <c r="D5" s="118">
        <v>14.8</v>
      </c>
    </row>
    <row r="6" ht="18.75" customHeight="1">
      <c r="A6" s="118">
        <v>1955.0</v>
      </c>
      <c r="B6" s="119">
        <v>1553.9</v>
      </c>
      <c r="C6" s="118"/>
      <c r="D6" s="118">
        <v>15.5</v>
      </c>
    </row>
    <row r="7" ht="18.75" customHeight="1">
      <c r="A7" s="118">
        <v>1956.0</v>
      </c>
      <c r="B7" s="119">
        <v>1657.3</v>
      </c>
      <c r="C7" s="118"/>
      <c r="D7" s="118">
        <v>14.7</v>
      </c>
    </row>
    <row r="8" ht="18.75" customHeight="1">
      <c r="A8" s="118">
        <v>1957.0</v>
      </c>
      <c r="B8" s="119">
        <v>1500.0</v>
      </c>
      <c r="C8" s="118"/>
      <c r="D8" s="118">
        <v>14.9</v>
      </c>
    </row>
    <row r="9" ht="18.75" customHeight="1">
      <c r="A9" s="118">
        <v>1958.0</v>
      </c>
      <c r="B9" s="119">
        <v>1804.9</v>
      </c>
      <c r="C9" s="118"/>
      <c r="D9" s="118">
        <v>15.2</v>
      </c>
    </row>
    <row r="10" ht="18.75" customHeight="1">
      <c r="A10" s="118">
        <v>1959.0</v>
      </c>
      <c r="B10" s="119">
        <v>1626.3</v>
      </c>
      <c r="C10" s="118"/>
      <c r="D10" s="118">
        <v>15.7</v>
      </c>
    </row>
    <row r="11" ht="18.75" customHeight="1">
      <c r="A11" s="118">
        <v>1960.0</v>
      </c>
      <c r="B11" s="119">
        <v>1281.9</v>
      </c>
      <c r="C11" s="118"/>
      <c r="D11" s="118">
        <v>15.4</v>
      </c>
    </row>
    <row r="12" ht="18.75" customHeight="1">
      <c r="A12" s="118">
        <v>1961.0</v>
      </c>
      <c r="B12" s="119">
        <v>1260.2</v>
      </c>
      <c r="C12" s="118"/>
      <c r="D12" s="118">
        <v>15.9</v>
      </c>
    </row>
    <row r="13" ht="18.75" customHeight="1">
      <c r="A13" s="118">
        <v>1962.0</v>
      </c>
      <c r="B13" s="119">
        <v>1256.0</v>
      </c>
      <c r="C13" s="118"/>
      <c r="D13" s="118">
        <v>15.4</v>
      </c>
    </row>
    <row r="14" ht="18.75" customHeight="1">
      <c r="A14" s="118">
        <v>1963.0</v>
      </c>
      <c r="B14" s="119">
        <v>1575.0</v>
      </c>
      <c r="C14" s="118"/>
      <c r="D14" s="118">
        <v>15.0</v>
      </c>
    </row>
    <row r="15" ht="18.75" customHeight="1">
      <c r="A15" s="118">
        <v>1964.0</v>
      </c>
      <c r="B15" s="119">
        <v>1140.2</v>
      </c>
      <c r="C15" s="118"/>
      <c r="D15" s="118">
        <v>15.3</v>
      </c>
    </row>
    <row r="16" ht="18.75" customHeight="1">
      <c r="A16" s="118">
        <v>1965.0</v>
      </c>
      <c r="B16" s="119">
        <v>1596.0</v>
      </c>
      <c r="C16" s="118"/>
      <c r="D16" s="118">
        <v>14.6</v>
      </c>
    </row>
    <row r="17" ht="18.75" customHeight="1">
      <c r="A17" s="118">
        <v>1966.0</v>
      </c>
      <c r="B17" s="119">
        <v>1643.5</v>
      </c>
      <c r="C17" s="118"/>
      <c r="D17" s="118">
        <v>15.5</v>
      </c>
    </row>
    <row r="18" ht="18.75" customHeight="1">
      <c r="A18" s="118">
        <v>1967.0</v>
      </c>
      <c r="B18" s="119">
        <v>1023.3</v>
      </c>
      <c r="C18" s="118"/>
      <c r="D18" s="118">
        <v>15.7</v>
      </c>
    </row>
    <row r="19" ht="18.75" customHeight="1">
      <c r="A19" s="118">
        <v>1968.0</v>
      </c>
      <c r="B19" s="119">
        <v>1491.0</v>
      </c>
      <c r="C19" s="118"/>
      <c r="D19" s="118">
        <v>15.6</v>
      </c>
    </row>
    <row r="20" ht="18.75" customHeight="1">
      <c r="A20" s="118">
        <v>1969.0</v>
      </c>
      <c r="B20" s="119">
        <v>1343.0</v>
      </c>
      <c r="C20" s="118"/>
      <c r="D20" s="118">
        <v>15.6</v>
      </c>
    </row>
    <row r="21" ht="18.75" customHeight="1">
      <c r="A21" s="118">
        <v>1970.0</v>
      </c>
      <c r="B21" s="119">
        <v>1122.0</v>
      </c>
      <c r="C21" s="118"/>
      <c r="D21" s="118">
        <v>15.2</v>
      </c>
    </row>
    <row r="22" ht="18.75" customHeight="1">
      <c r="A22" s="118">
        <v>1971.0</v>
      </c>
      <c r="B22" s="119">
        <v>1438.5</v>
      </c>
      <c r="C22" s="118"/>
      <c r="D22" s="118">
        <v>15.0</v>
      </c>
    </row>
    <row r="23" ht="18.75" customHeight="1">
      <c r="A23" s="118">
        <v>1972.0</v>
      </c>
      <c r="B23" s="119">
        <v>1627.5</v>
      </c>
      <c r="C23" s="118"/>
      <c r="D23" s="118">
        <v>15.7</v>
      </c>
    </row>
    <row r="24" ht="18.75" customHeight="1">
      <c r="A24" s="118">
        <v>1973.0</v>
      </c>
      <c r="B24" s="119">
        <v>1149.5</v>
      </c>
      <c r="C24" s="118"/>
      <c r="D24" s="118">
        <v>15.7</v>
      </c>
    </row>
    <row r="25" ht="18.75" customHeight="1">
      <c r="A25" s="118">
        <v>1974.0</v>
      </c>
      <c r="B25" s="119">
        <v>1580.5</v>
      </c>
      <c r="C25" s="118"/>
      <c r="D25" s="118">
        <v>15.2</v>
      </c>
    </row>
    <row r="26" ht="18.75" customHeight="1">
      <c r="A26" s="118">
        <v>1975.0</v>
      </c>
      <c r="B26" s="119">
        <v>1540.5</v>
      </c>
      <c r="C26" s="118"/>
      <c r="D26" s="118">
        <v>15.6</v>
      </c>
    </row>
    <row r="27" ht="18.75" customHeight="1">
      <c r="A27" s="118">
        <v>1976.0</v>
      </c>
      <c r="B27" s="119">
        <v>1557.5</v>
      </c>
      <c r="C27" s="118"/>
      <c r="D27" s="118">
        <v>15.0</v>
      </c>
    </row>
    <row r="28" ht="18.75" customHeight="1">
      <c r="A28" s="118">
        <v>1977.0</v>
      </c>
      <c r="B28" s="119">
        <v>1454.0</v>
      </c>
      <c r="C28" s="118"/>
      <c r="D28" s="118">
        <v>15.8</v>
      </c>
    </row>
    <row r="29" ht="18.75" customHeight="1">
      <c r="A29" s="118">
        <v>1978.0</v>
      </c>
      <c r="B29" s="119">
        <v>1030.0</v>
      </c>
      <c r="C29" s="118"/>
      <c r="D29" s="118">
        <v>16.1</v>
      </c>
    </row>
    <row r="30" ht="18.75" customHeight="1">
      <c r="A30" s="118">
        <v>1979.0</v>
      </c>
      <c r="B30" s="119">
        <v>1453.5</v>
      </c>
      <c r="C30" s="118"/>
      <c r="D30" s="118">
        <v>16.9</v>
      </c>
    </row>
    <row r="31" ht="18.75" customHeight="1">
      <c r="A31" s="118">
        <v>1980.0</v>
      </c>
      <c r="B31" s="119">
        <v>1577.5</v>
      </c>
      <c r="C31" s="118"/>
      <c r="D31" s="118">
        <v>15.4</v>
      </c>
    </row>
    <row r="32" ht="18.75" customHeight="1">
      <c r="A32" s="118">
        <v>1981.0</v>
      </c>
      <c r="B32" s="119">
        <v>1463.5</v>
      </c>
      <c r="C32" s="118"/>
      <c r="D32" s="118">
        <v>15.0</v>
      </c>
    </row>
    <row r="33" ht="18.75" customHeight="1">
      <c r="A33" s="118">
        <v>1982.0</v>
      </c>
      <c r="B33" s="119">
        <v>1575.5</v>
      </c>
      <c r="C33" s="118"/>
      <c r="D33" s="118">
        <v>16.0</v>
      </c>
    </row>
    <row r="34" ht="18.75" customHeight="1">
      <c r="A34" s="118">
        <v>1983.0</v>
      </c>
      <c r="B34" s="119">
        <v>1340.5</v>
      </c>
      <c r="C34" s="118"/>
      <c r="D34" s="118">
        <v>15.7</v>
      </c>
    </row>
    <row r="35" ht="18.75" customHeight="1">
      <c r="A35" s="118">
        <v>1984.0</v>
      </c>
      <c r="B35" s="119">
        <v>879.5</v>
      </c>
      <c r="C35" s="118"/>
      <c r="D35" s="118">
        <v>14.9</v>
      </c>
    </row>
    <row r="36" ht="18.75" customHeight="1">
      <c r="A36" s="118">
        <v>1985.0</v>
      </c>
      <c r="B36" s="119">
        <v>1516.5</v>
      </c>
      <c r="C36" s="118"/>
      <c r="D36" s="118">
        <v>15.7</v>
      </c>
    </row>
    <row r="37" ht="18.75" customHeight="1">
      <c r="A37" s="118">
        <v>1986.0</v>
      </c>
      <c r="B37" s="119">
        <v>1458.0</v>
      </c>
      <c r="C37" s="118"/>
      <c r="D37" s="118">
        <v>15.2</v>
      </c>
    </row>
    <row r="38" ht="18.75" customHeight="1">
      <c r="A38" s="118">
        <v>1987.0</v>
      </c>
      <c r="B38" s="119">
        <v>1089.0</v>
      </c>
      <c r="C38" s="118"/>
      <c r="D38" s="118">
        <v>16.3</v>
      </c>
    </row>
    <row r="39" ht="18.75" customHeight="1">
      <c r="A39" s="118">
        <v>1988.0</v>
      </c>
      <c r="B39" s="119">
        <v>1515.5</v>
      </c>
      <c r="C39" s="118"/>
      <c r="D39" s="118">
        <v>15.4</v>
      </c>
    </row>
    <row r="40" ht="18.75" customHeight="1">
      <c r="A40" s="118">
        <v>1989.0</v>
      </c>
      <c r="B40" s="119">
        <v>1937.5</v>
      </c>
      <c r="C40" s="118" t="s">
        <v>163</v>
      </c>
      <c r="D40" s="118">
        <v>16.4</v>
      </c>
    </row>
    <row r="41" ht="18.75" customHeight="1">
      <c r="A41" s="118">
        <v>1990.0</v>
      </c>
      <c r="B41" s="119">
        <v>1512.5</v>
      </c>
      <c r="C41" s="118">
        <v>5764.0</v>
      </c>
      <c r="D41" s="118">
        <v>17.0</v>
      </c>
    </row>
    <row r="42" ht="18.75" customHeight="1">
      <c r="A42" s="118">
        <v>1991.0</v>
      </c>
      <c r="B42" s="119">
        <v>2042.0</v>
      </c>
      <c r="C42" s="118">
        <v>6065.0</v>
      </c>
      <c r="D42" s="118">
        <v>16.4</v>
      </c>
    </row>
    <row r="43" ht="18.75" customHeight="1">
      <c r="A43" s="118">
        <v>1992.0</v>
      </c>
      <c r="B43" s="119">
        <v>1619.5</v>
      </c>
      <c r="C43" s="118">
        <v>6190.0</v>
      </c>
      <c r="D43" s="118">
        <v>16.0</v>
      </c>
    </row>
    <row r="44" ht="18.75" customHeight="1">
      <c r="A44" s="118">
        <v>1993.0</v>
      </c>
      <c r="B44" s="119">
        <v>1872.5</v>
      </c>
      <c r="C44" s="118">
        <v>6001.0</v>
      </c>
      <c r="D44" s="118">
        <v>15.5</v>
      </c>
    </row>
    <row r="45" ht="18.75" customHeight="1">
      <c r="A45" s="118">
        <v>1994.0</v>
      </c>
      <c r="B45" s="119">
        <v>1131.5</v>
      </c>
      <c r="C45" s="118">
        <v>6243.0</v>
      </c>
      <c r="D45" s="118">
        <v>16.9</v>
      </c>
    </row>
    <row r="46" ht="18.75" customHeight="1">
      <c r="A46" s="118">
        <v>1995.0</v>
      </c>
      <c r="B46" s="119">
        <v>1220.0</v>
      </c>
      <c r="C46" s="118">
        <v>6228.0</v>
      </c>
      <c r="D46" s="118">
        <v>16.3</v>
      </c>
    </row>
    <row r="47" ht="18.75" customHeight="1">
      <c r="A47" s="118">
        <v>1996.0</v>
      </c>
      <c r="B47" s="119">
        <v>1333.5</v>
      </c>
      <c r="C47" s="118">
        <v>6109.0</v>
      </c>
      <c r="D47" s="118">
        <v>15.8</v>
      </c>
    </row>
    <row r="48" ht="18.75" customHeight="1">
      <c r="A48" s="118">
        <v>1997.0</v>
      </c>
      <c r="B48" s="119">
        <v>1302.0</v>
      </c>
      <c r="C48" s="118">
        <v>6174.0</v>
      </c>
      <c r="D48" s="118">
        <v>16.7</v>
      </c>
    </row>
    <row r="49" ht="18.75" customHeight="1">
      <c r="A49" s="118">
        <v>1998.0</v>
      </c>
      <c r="B49" s="119">
        <v>1546.5</v>
      </c>
      <c r="C49" s="118">
        <v>6079.0</v>
      </c>
      <c r="D49" s="118">
        <v>16.7</v>
      </c>
    </row>
    <row r="50" ht="18.75" customHeight="1">
      <c r="A50" s="118">
        <v>1999.0</v>
      </c>
      <c r="B50" s="119">
        <v>1622.0</v>
      </c>
      <c r="C50" s="118">
        <v>6120.0</v>
      </c>
      <c r="D50" s="118">
        <v>17.0</v>
      </c>
    </row>
    <row r="51" ht="18.75" customHeight="1">
      <c r="A51" s="118">
        <v>2000.0</v>
      </c>
      <c r="B51" s="119">
        <v>1603.0</v>
      </c>
      <c r="C51" s="118">
        <v>6220.0</v>
      </c>
      <c r="D51" s="118">
        <v>16.9</v>
      </c>
    </row>
    <row r="52" ht="18.75" customHeight="1">
      <c r="A52" s="118">
        <v>2001.0</v>
      </c>
      <c r="B52" s="119">
        <v>1491.0</v>
      </c>
      <c r="C52" s="118">
        <v>5985.0</v>
      </c>
      <c r="D52" s="118">
        <v>16.5</v>
      </c>
    </row>
    <row r="53" ht="18.75" customHeight="1">
      <c r="A53" s="118">
        <v>2002.0</v>
      </c>
      <c r="B53" s="119">
        <v>1294.5</v>
      </c>
      <c r="C53" s="118">
        <v>6564.0</v>
      </c>
      <c r="D53" s="118">
        <v>16.7</v>
      </c>
    </row>
    <row r="54" ht="18.75" customHeight="1">
      <c r="A54" s="118">
        <v>2003.0</v>
      </c>
      <c r="B54" s="119">
        <v>1854.0</v>
      </c>
      <c r="C54" s="118">
        <v>7008.0</v>
      </c>
      <c r="D54" s="118">
        <v>16.0</v>
      </c>
    </row>
    <row r="55" ht="18.75" customHeight="1">
      <c r="A55" s="118">
        <v>2004.0</v>
      </c>
      <c r="B55" s="119">
        <v>1750.0</v>
      </c>
      <c r="C55" s="118">
        <v>6424.0</v>
      </c>
      <c r="D55" s="118">
        <v>17.3</v>
      </c>
    </row>
    <row r="56" ht="18.75" customHeight="1">
      <c r="A56" s="118">
        <v>2005.0</v>
      </c>
      <c r="B56" s="119">
        <v>1482.0</v>
      </c>
      <c r="C56" s="118">
        <v>6416.0</v>
      </c>
      <c r="D56" s="118">
        <v>16.2</v>
      </c>
    </row>
    <row r="57" ht="18.75" customHeight="1">
      <c r="A57" s="118">
        <v>2006.0</v>
      </c>
      <c r="B57" s="119">
        <v>1740.0</v>
      </c>
      <c r="C57" s="118">
        <v>6014.0</v>
      </c>
      <c r="D57" s="118">
        <v>16.4</v>
      </c>
    </row>
    <row r="58" ht="18.75" customHeight="1">
      <c r="A58" s="118">
        <v>2007.0</v>
      </c>
      <c r="B58" s="119">
        <v>1332.0</v>
      </c>
      <c r="C58" s="118">
        <v>6782.0</v>
      </c>
      <c r="D58" s="118">
        <v>17.0</v>
      </c>
    </row>
    <row r="59" ht="18.75" customHeight="1">
      <c r="A59" s="118">
        <v>2008.0</v>
      </c>
      <c r="B59" s="119">
        <v>1857.5</v>
      </c>
      <c r="C59" s="118">
        <v>6581.0</v>
      </c>
      <c r="D59" s="118">
        <v>16.4</v>
      </c>
    </row>
    <row r="60" ht="18.75" customHeight="1">
      <c r="A60" s="118">
        <v>2009.0</v>
      </c>
      <c r="B60" s="119">
        <v>1801.5</v>
      </c>
      <c r="C60" s="118">
        <v>6216.0</v>
      </c>
      <c r="D60" s="118">
        <v>16.7</v>
      </c>
    </row>
    <row r="61" ht="18.75" customHeight="1">
      <c r="A61" s="118">
        <v>2010.0</v>
      </c>
      <c r="B61" s="119">
        <v>1679.5</v>
      </c>
      <c r="C61" s="118">
        <v>6187.0</v>
      </c>
      <c r="D61" s="118">
        <v>16.9</v>
      </c>
    </row>
    <row r="62" ht="18.75" customHeight="1">
      <c r="A62" s="118">
        <v>2011.0</v>
      </c>
      <c r="B62" s="119">
        <v>1479.5</v>
      </c>
      <c r="C62" s="118">
        <v>6492.0</v>
      </c>
      <c r="D62" s="118">
        <v>16.5</v>
      </c>
    </row>
    <row r="63" ht="18.75" customHeight="1">
      <c r="A63" s="118">
        <v>2012.0</v>
      </c>
      <c r="B63" s="119">
        <v>1570.0</v>
      </c>
      <c r="C63" s="118">
        <v>6986.0</v>
      </c>
      <c r="D63" s="118">
        <v>16.3</v>
      </c>
    </row>
    <row r="64" ht="18.75" customHeight="1">
      <c r="A64" s="118">
        <v>2013.0</v>
      </c>
      <c r="B64" s="119">
        <v>1614.0</v>
      </c>
      <c r="C64" s="118">
        <v>6979.0</v>
      </c>
      <c r="D64" s="118">
        <v>17.1</v>
      </c>
    </row>
    <row r="65" ht="18.75" customHeight="1">
      <c r="A65" s="118">
        <v>2014.0</v>
      </c>
      <c r="B65" s="119">
        <v>1808.0</v>
      </c>
      <c r="C65" s="118">
        <v>6695.0</v>
      </c>
      <c r="D65" s="118">
        <v>16.6</v>
      </c>
    </row>
    <row r="66" ht="18.75" customHeight="1">
      <c r="A66" s="118">
        <v>2015.0</v>
      </c>
      <c r="B66" s="119">
        <v>1781.5</v>
      </c>
      <c r="C66" s="118">
        <v>6587.0</v>
      </c>
      <c r="D66" s="118">
        <v>16.4</v>
      </c>
    </row>
    <row r="67" ht="18.75" customHeight="1">
      <c r="A67" s="118">
        <v>2016.0</v>
      </c>
      <c r="B67" s="119">
        <v>1779.0</v>
      </c>
      <c r="C67" s="118">
        <v>6437.0</v>
      </c>
      <c r="D67" s="118">
        <v>16.4</v>
      </c>
    </row>
    <row r="68" ht="18.75" customHeight="1">
      <c r="A68" s="118">
        <v>2017.0</v>
      </c>
      <c r="B68" s="119">
        <v>1430.0</v>
      </c>
      <c r="C68" s="118">
        <v>6485.0</v>
      </c>
      <c r="D68" s="118">
        <v>15.8</v>
      </c>
    </row>
    <row r="69" ht="18.75" customHeight="1">
      <c r="A69" s="118">
        <v>2018.0</v>
      </c>
      <c r="B69" s="119">
        <v>1445.5</v>
      </c>
      <c r="C69" s="118"/>
      <c r="D69" s="118">
        <v>16.8</v>
      </c>
    </row>
    <row r="70" ht="18.75" customHeight="1">
      <c r="A70" s="118">
        <v>2019.0</v>
      </c>
      <c r="B70" s="119">
        <v>1874.0</v>
      </c>
      <c r="C70" s="118"/>
      <c r="D70" s="118">
        <v>16.5</v>
      </c>
    </row>
    <row r="71" ht="18.75" customHeight="1">
      <c r="A71" s="118">
        <v>2020.0</v>
      </c>
      <c r="B71" s="119">
        <v>1590.0</v>
      </c>
      <c r="C71" s="118"/>
      <c r="D71" s="118">
        <v>16.5</v>
      </c>
    </row>
    <row r="72" ht="18.75" customHeight="1">
      <c r="A72" s="120">
        <v>2021.0</v>
      </c>
      <c r="D72" s="120">
        <v>16.6</v>
      </c>
    </row>
    <row r="73" ht="18.75" customHeight="1">
      <c r="A73" s="120">
        <v>2022.0</v>
      </c>
      <c r="D73" s="120">
        <v>16.4</v>
      </c>
    </row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4" width="15.25"/>
    <col customWidth="1" min="5" max="26" width="7.75"/>
  </cols>
  <sheetData>
    <row r="1" ht="15.75" customHeight="1">
      <c r="A1" s="121" t="s">
        <v>165</v>
      </c>
      <c r="B1" s="122"/>
      <c r="C1" s="122"/>
      <c r="D1" s="122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98" t="s">
        <v>1</v>
      </c>
      <c r="B2" s="98" t="s">
        <v>3</v>
      </c>
      <c r="C2" s="98" t="s">
        <v>5</v>
      </c>
      <c r="D2" s="98" t="s">
        <v>7</v>
      </c>
      <c r="E2" s="12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4">
        <v>1.0</v>
      </c>
      <c r="B3" s="104">
        <v>0.521</v>
      </c>
      <c r="C3" s="104">
        <v>2.21</v>
      </c>
      <c r="D3" s="104">
        <v>0.65</v>
      </c>
      <c r="E3" s="1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24"/>
      <c r="B4" s="124">
        <v>0.0</v>
      </c>
      <c r="C4" s="124"/>
      <c r="D4" s="124"/>
      <c r="E4" s="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"/>
      <c r="B5" s="2"/>
      <c r="C5" s="2"/>
      <c r="D5" s="2"/>
      <c r="E5" s="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2"/>
      <c r="B6" s="2"/>
      <c r="C6" s="2"/>
      <c r="D6" s="2"/>
      <c r="E6" s="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"/>
      <c r="B7" s="2"/>
      <c r="C7" s="2"/>
      <c r="D7" s="2"/>
      <c r="E7" s="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2"/>
      <c r="B8" s="2"/>
      <c r="C8" s="2"/>
      <c r="D8" s="2"/>
      <c r="E8" s="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"/>
      <c r="B9" s="2"/>
      <c r="C9" s="2"/>
      <c r="D9" s="2"/>
      <c r="E9" s="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2"/>
      <c r="B10" s="2"/>
      <c r="C10" s="2"/>
      <c r="D10" s="2"/>
      <c r="E10" s="2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2021-02-14T06:53:37Z</dcterms:created>
</cp:coreProperties>
</file>